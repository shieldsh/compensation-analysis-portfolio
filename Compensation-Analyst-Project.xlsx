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defaultThemeVersion="202300"/>
  <mc:AlternateContent xmlns:mc="http://schemas.openxmlformats.org/markup-compatibility/2006">
    <mc:Choice Requires="x15">
      <x15ac:absPath xmlns:x15ac="http://schemas.microsoft.com/office/spreadsheetml/2010/11/ac" url="/Users/haleyshields/Documents/analyst projects/"/>
    </mc:Choice>
  </mc:AlternateContent>
  <xr:revisionPtr revIDLastSave="0" documentId="8_{52AFCC51-8034-B849-99E2-341BA3C64593}" xr6:coauthVersionLast="47" xr6:coauthVersionMax="47" xr10:uidLastSave="{00000000-0000-0000-0000-000000000000}"/>
  <bookViews>
    <workbookView xWindow="0" yWindow="760" windowWidth="29400" windowHeight="16660" activeTab="3" xr2:uid="{4C3C7908-0628-E749-8944-4F3466F26B31}"/>
  </bookViews>
  <sheets>
    <sheet name="Raw Data" sheetId="2" r:id="rId1"/>
    <sheet name="Clean Data" sheetId="4" r:id="rId2"/>
    <sheet name="Pivot Tables" sheetId="5" r:id="rId3"/>
    <sheet name="Dashboard" sheetId="8" r:id="rId4"/>
    <sheet name="Questions and Answers" sheetId="9" r:id="rId5"/>
    <sheet name="Summary" sheetId="12" r:id="rId6"/>
  </sheets>
  <definedNames>
    <definedName name="_xlnm._FilterDatabase" localSheetId="2" hidden="1">'Pivot Tables'!$B$157:$C$172</definedName>
    <definedName name="Clean.Table">Clean_Table[#All]</definedName>
    <definedName name="Slicer_Provider_Name">#N/A</definedName>
    <definedName name="Slicer_Specialty1">#N/A</definedName>
  </definedNames>
  <calcPr calcId="191029"/>
  <pivotCaches>
    <pivotCache cacheId="13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3" i="4" l="1"/>
  <c r="P4" i="4"/>
  <c r="P5" i="4"/>
  <c r="P6" i="4"/>
  <c r="P7" i="4"/>
  <c r="P8" i="4"/>
  <c r="P9" i="4"/>
  <c r="P10" i="4"/>
  <c r="P11" i="4"/>
  <c r="P12" i="4"/>
  <c r="P13" i="4"/>
  <c r="P14" i="4"/>
  <c r="P15" i="4"/>
  <c r="P16" i="4"/>
  <c r="P2" i="4"/>
  <c r="M2" i="4"/>
  <c r="N2" i="4" s="1"/>
  <c r="O2" i="4" s="1"/>
  <c r="M3" i="4"/>
  <c r="N3" i="4" s="1"/>
  <c r="M4" i="4"/>
  <c r="N4" i="4" s="1"/>
  <c r="M5" i="4"/>
  <c r="N5" i="4" s="1"/>
  <c r="M6" i="4"/>
  <c r="N6" i="4" s="1"/>
  <c r="M7" i="4"/>
  <c r="N7" i="4" s="1"/>
  <c r="O7" i="4" s="1"/>
  <c r="M8" i="4"/>
  <c r="N8" i="4" s="1"/>
  <c r="O8" i="4" s="1"/>
  <c r="M9" i="4"/>
  <c r="N9" i="4" s="1"/>
  <c r="O9" i="4" s="1"/>
  <c r="M10" i="4"/>
  <c r="N10" i="4" s="1"/>
  <c r="O10" i="4" s="1"/>
  <c r="M11" i="4"/>
  <c r="N11" i="4" s="1"/>
  <c r="M12" i="4"/>
  <c r="N12" i="4" s="1"/>
  <c r="O12" i="4" s="1"/>
  <c r="M13" i="4"/>
  <c r="N13" i="4" s="1"/>
  <c r="O13" i="4" s="1"/>
  <c r="M14" i="4"/>
  <c r="N14" i="4" s="1"/>
  <c r="M15" i="4"/>
  <c r="N15" i="4" s="1"/>
  <c r="M16" i="4"/>
  <c r="N16" i="4" s="1"/>
  <c r="I3" i="4"/>
  <c r="J3" i="4" s="1"/>
  <c r="I4" i="4"/>
  <c r="K4" i="4" s="1"/>
  <c r="I5" i="4"/>
  <c r="K5" i="4" s="1"/>
  <c r="I6" i="4"/>
  <c r="J6" i="4" s="1"/>
  <c r="I7" i="4"/>
  <c r="J7" i="4" s="1"/>
  <c r="I8" i="4"/>
  <c r="K8" i="4" s="1"/>
  <c r="I9" i="4"/>
  <c r="J9" i="4" s="1"/>
  <c r="I10" i="4"/>
  <c r="J10" i="4" s="1"/>
  <c r="I11" i="4"/>
  <c r="J11" i="4" s="1"/>
  <c r="I12" i="4"/>
  <c r="J12" i="4" s="1"/>
  <c r="I13" i="4"/>
  <c r="J13" i="4" s="1"/>
  <c r="I14" i="4"/>
  <c r="K14" i="4" s="1"/>
  <c r="I15" i="4"/>
  <c r="K15" i="4" s="1"/>
  <c r="I16" i="4"/>
  <c r="K16" i="4" s="1"/>
  <c r="I2" i="4"/>
  <c r="K2" i="4" s="1"/>
  <c r="O11" i="4" l="1"/>
  <c r="O6" i="4"/>
  <c r="O15" i="4"/>
  <c r="O5" i="4"/>
  <c r="O16" i="4"/>
  <c r="O14" i="4"/>
  <c r="O4" i="4"/>
  <c r="O3" i="4"/>
  <c r="J5" i="4"/>
  <c r="L9" i="4" s="1"/>
  <c r="K7" i="4"/>
  <c r="K6" i="4"/>
  <c r="J8" i="4"/>
  <c r="J16" i="4"/>
  <c r="J15" i="4"/>
  <c r="K3" i="4"/>
  <c r="J14" i="4"/>
  <c r="J4" i="4"/>
  <c r="J2" i="4"/>
  <c r="K12" i="4"/>
  <c r="K11" i="4"/>
  <c r="K10" i="4"/>
  <c r="K9" i="4"/>
  <c r="K13" i="4"/>
  <c r="L5" i="4" l="1"/>
  <c r="L11" i="4"/>
  <c r="L10" i="4"/>
  <c r="L6" i="4"/>
  <c r="L8" i="4"/>
  <c r="L4" i="4"/>
  <c r="L2" i="4"/>
  <c r="L12" i="4"/>
  <c r="L16" i="4"/>
  <c r="L14" i="4"/>
  <c r="L13" i="4"/>
  <c r="L7" i="4"/>
  <c r="L15" i="4"/>
  <c r="L3" i="4"/>
</calcChain>
</file>

<file path=xl/sharedStrings.xml><?xml version="1.0" encoding="utf-8"?>
<sst xmlns="http://schemas.openxmlformats.org/spreadsheetml/2006/main" count="253" uniqueCount="65">
  <si>
    <t>Provider ID</t>
  </si>
  <si>
    <t>Provider Name</t>
  </si>
  <si>
    <t>Specialty</t>
  </si>
  <si>
    <t>Years Experience</t>
  </si>
  <si>
    <t>Monthly RVUs</t>
  </si>
  <si>
    <t>Monthly Visits</t>
  </si>
  <si>
    <t>Base Salary</t>
  </si>
  <si>
    <t>Bonus</t>
  </si>
  <si>
    <t>Total Compensation</t>
  </si>
  <si>
    <t>P001</t>
  </si>
  <si>
    <t>P002</t>
  </si>
  <si>
    <t>P003</t>
  </si>
  <si>
    <t>P004</t>
  </si>
  <si>
    <t>P005</t>
  </si>
  <si>
    <t>P006</t>
  </si>
  <si>
    <t>P007</t>
  </si>
  <si>
    <t>P008</t>
  </si>
  <si>
    <t>P009</t>
  </si>
  <si>
    <t>P010</t>
  </si>
  <si>
    <t>P011</t>
  </si>
  <si>
    <t>P012</t>
  </si>
  <si>
    <t>P013</t>
  </si>
  <si>
    <t>P014</t>
  </si>
  <si>
    <t>P015</t>
  </si>
  <si>
    <t>Smith</t>
  </si>
  <si>
    <t>Johnson</t>
  </si>
  <si>
    <t>Williams</t>
  </si>
  <si>
    <t>Brown</t>
  </si>
  <si>
    <t>Jones</t>
  </si>
  <si>
    <t>Miller</t>
  </si>
  <si>
    <t>Davis</t>
  </si>
  <si>
    <t>Garcia</t>
  </si>
  <si>
    <t>Martinez</t>
  </si>
  <si>
    <t>Hernandez</t>
  </si>
  <si>
    <t>Lopez</t>
  </si>
  <si>
    <t>Gonzalez</t>
  </si>
  <si>
    <t>Wilson</t>
  </si>
  <si>
    <t>Anderson</t>
  </si>
  <si>
    <t>Thomas</t>
  </si>
  <si>
    <t>Orthopedics</t>
  </si>
  <si>
    <t>Endocrinology</t>
  </si>
  <si>
    <t>Neurology</t>
  </si>
  <si>
    <t>Cardiology</t>
  </si>
  <si>
    <t>Gastroenterology</t>
  </si>
  <si>
    <t>Comp per RVU</t>
  </si>
  <si>
    <t>Comp per Visit</t>
  </si>
  <si>
    <t>Grand Total</t>
  </si>
  <si>
    <t>Sum of Total Compensation</t>
  </si>
  <si>
    <t>Average of Monthly RVUs</t>
  </si>
  <si>
    <t>Average of Total Compensation</t>
  </si>
  <si>
    <t>Average of Comp per Visit</t>
  </si>
  <si>
    <t>Average of Comp per RVU</t>
  </si>
  <si>
    <t>Sum of Base Salary</t>
  </si>
  <si>
    <t>Sum of Bonus</t>
  </si>
  <si>
    <t>Sum of Monthly RVUs</t>
  </si>
  <si>
    <t>Average of Years Experience</t>
  </si>
  <si>
    <t>Count of Provider Name</t>
  </si>
  <si>
    <t>% of total compensation</t>
  </si>
  <si>
    <t>Specialty &amp; Providers</t>
  </si>
  <si>
    <t>Z-scores of comp per RVU</t>
  </si>
  <si>
    <t>Target Comp per RVU</t>
  </si>
  <si>
    <t>Expected Comp</t>
  </si>
  <si>
    <t>Variance</t>
  </si>
  <si>
    <t>Sum of Variance</t>
  </si>
  <si>
    <t>Bonus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</si>
</sst>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4" x14ac:knownFonts="1">
    <font>
      <sz val="12"/>
      <color theme="1"/>
      <name val="Aptos Narrow"/>
      <family val="2"/>
      <scheme val="minor"/>
    </font>
    <font>
      <sz val="12"/>
      <color theme="1"/>
      <name val="Aptos Narrow"/>
      <family val="2"/>
      <scheme val="minor"/>
    </font>
    <font>
      <sz val="12"/>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4" tint="0.39997558519241921"/>
        <bgColor indexed="65"/>
      </patternFill>
    </fill>
    <fill>
      <patternFill patternType="solid">
        <fgColor theme="3" tint="0.8999908444471571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
    <xf numFmtId="0" fontId="0" fillId="0" borderId="0"/>
    <xf numFmtId="44" fontId="1" fillId="0" borderId="0" applyFont="0" applyFill="0" applyBorder="0" applyAlignment="0" applyProtection="0"/>
    <xf numFmtId="0" fontId="1" fillId="2" borderId="0" applyNumberFormat="0" applyBorder="0" applyAlignment="0" applyProtection="0"/>
    <xf numFmtId="9" fontId="1" fillId="0" borderId="0" applyFont="0" applyFill="0" applyBorder="0" applyAlignment="0" applyProtection="0"/>
  </cellStyleXfs>
  <cellXfs count="27">
    <xf numFmtId="0" fontId="0" fillId="0" borderId="0" xfId="0"/>
    <xf numFmtId="44" fontId="0" fillId="0" borderId="0" xfId="1" applyFont="1"/>
    <xf numFmtId="44" fontId="0" fillId="0" borderId="0" xfId="0" applyNumberFormat="1"/>
    <xf numFmtId="0" fontId="0" fillId="0" borderId="1" xfId="0" applyBorder="1"/>
    <xf numFmtId="0" fontId="0" fillId="0" borderId="2" xfId="0" applyBorder="1"/>
    <xf numFmtId="0" fontId="2" fillId="2" borderId="3" xfId="2" applyFont="1" applyBorder="1"/>
    <xf numFmtId="0" fontId="2" fillId="2" borderId="4" xfId="2" applyFont="1" applyBorder="1"/>
    <xf numFmtId="44" fontId="2" fillId="2" borderId="4" xfId="2" applyNumberFormat="1" applyFont="1" applyBorder="1"/>
    <xf numFmtId="0" fontId="0" fillId="0" borderId="6" xfId="0" applyBorder="1"/>
    <xf numFmtId="0" fontId="0" fillId="0" borderId="7" xfId="0"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4" fontId="0" fillId="0" borderId="1" xfId="1" applyNumberFormat="1" applyFont="1" applyBorder="1"/>
    <xf numFmtId="164" fontId="0" fillId="0" borderId="1" xfId="0" applyNumberFormat="1" applyBorder="1"/>
    <xf numFmtId="164" fontId="0" fillId="0" borderId="7" xfId="1" applyNumberFormat="1" applyFont="1" applyBorder="1"/>
    <xf numFmtId="164" fontId="0" fillId="0" borderId="7" xfId="0" applyNumberFormat="1" applyBorder="1"/>
    <xf numFmtId="0" fontId="0" fillId="0" borderId="0" xfId="0" applyAlignment="1">
      <alignment vertical="center"/>
    </xf>
    <xf numFmtId="9" fontId="0" fillId="0" borderId="0" xfId="0" applyNumberFormat="1"/>
    <xf numFmtId="0" fontId="0" fillId="0" borderId="0" xfId="0" applyAlignment="1">
      <alignment horizontal="left" indent="1"/>
    </xf>
    <xf numFmtId="0" fontId="0" fillId="3" borderId="0" xfId="0" applyFill="1"/>
    <xf numFmtId="2" fontId="0" fillId="0" borderId="0" xfId="0" applyNumberFormat="1"/>
    <xf numFmtId="44" fontId="2" fillId="2" borderId="5" xfId="2" applyNumberFormat="1" applyFont="1" applyBorder="1"/>
    <xf numFmtId="2" fontId="0" fillId="0" borderId="1" xfId="1" applyNumberFormat="1" applyFont="1" applyBorder="1"/>
    <xf numFmtId="2" fontId="0" fillId="0" borderId="7" xfId="1" applyNumberFormat="1" applyFont="1" applyBorder="1"/>
    <xf numFmtId="2" fontId="0" fillId="0" borderId="1" xfId="3" applyNumberFormat="1" applyFont="1" applyBorder="1"/>
  </cellXfs>
  <cellStyles count="4">
    <cellStyle name="60% - Accent1" xfId="2" builtinId="32"/>
    <cellStyle name="Currency" xfId="1" builtinId="4"/>
    <cellStyle name="Normal" xfId="0" builtinId="0"/>
    <cellStyle name="Percent" xfId="3" builtinId="5"/>
  </cellStyles>
  <dxfs count="34">
    <dxf>
      <numFmt numFmtId="164" formatCode="&quot;$&quot;#,##0.00"/>
    </dxf>
    <dxf>
      <numFmt numFmtId="164" formatCode="&quot;$&quot;#,##0.00"/>
    </dxf>
    <dxf>
      <numFmt numFmtId="164" formatCode="&quot;$&quot;#,##0.00"/>
    </dxf>
    <dxf>
      <numFmt numFmtId="165" formatCode="_(&quot;$&quot;* #,##0_);_(&quot;$&quot;* \(#,##0\);_(&quot;$&quot;* &quot;-&quot;??_);_(@_)"/>
    </dxf>
    <dxf>
      <numFmt numFmtId="164" formatCode="&quot;$&quot;#,##0.00"/>
    </dxf>
    <dxf>
      <numFmt numFmtId="164" formatCode="&quot;$&quot;#,##0.00"/>
    </dxf>
    <dxf>
      <numFmt numFmtId="164" formatCode="&quot;$&quot;#,##0.00"/>
    </dxf>
    <dxf>
      <numFmt numFmtId="164" formatCode="&quot;$&quot;#,##0.00"/>
    </dxf>
    <dxf>
      <numFmt numFmtId="1" formatCode="0"/>
    </dxf>
    <dxf>
      <numFmt numFmtId="1" formatCode="0"/>
    </dxf>
    <dxf>
      <numFmt numFmtId="1" formatCode="0"/>
    </dxf>
    <dxf>
      <numFmt numFmtId="1" formatCode="0"/>
    </dxf>
    <dxf>
      <numFmt numFmtId="164" formatCode="&quot;$&quot;#,##0.00"/>
    </dxf>
    <dxf>
      <font>
        <b val="0"/>
        <i val="0"/>
        <strike val="0"/>
        <condense val="0"/>
        <extend val="0"/>
        <outline val="0"/>
        <shadow val="0"/>
        <u val="none"/>
        <vertAlign val="baseline"/>
        <sz val="12"/>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dxf>
    <dxf>
      <border>
        <bottom style="thin">
          <color indexed="64"/>
        </bottom>
      </border>
    </dxf>
    <dxf>
      <font>
        <b val="0"/>
        <i val="0"/>
        <strike val="0"/>
        <condense val="0"/>
        <extend val="0"/>
        <outline val="0"/>
        <shadow val="0"/>
        <u val="none"/>
        <vertAlign val="baseline"/>
        <sz val="12"/>
        <color theme="0"/>
        <name val="Aptos Narrow"/>
        <family val="2"/>
        <scheme val="minor"/>
      </font>
      <numFmt numFmtId="34" formatCode="_(&quot;$&quot;* #,##0.00_);_(&quot;$&quot;* \(#,##0.00\);_(&quot;$&quot;* &quot;-&quot;??_);_(@_)"/>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[Compensation Analyst Project.xlsx]Pivot Tables!PivotTable2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RVU vs Total Compensation - is it fair?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Tables'!$C$9</c:f>
              <c:strCache>
                <c:ptCount val="1"/>
                <c:pt idx="0">
                  <c:v>Total</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trendline>
            <c:spPr>
              <a:ln w="19050" cap="rnd">
                <a:solidFill>
                  <a:schemeClr val="accent2"/>
                </a:solidFill>
                <a:prstDash val="sysDash"/>
              </a:ln>
              <a:effectLst/>
            </c:spPr>
            <c:trendlineType val="linear"/>
            <c:dispRSqr val="0"/>
            <c:dispEq val="0"/>
          </c:trendline>
          <c:cat>
            <c:strRef>
              <c:f>'Pivot Tables'!$B$10:$B$25</c:f>
              <c:strCache>
                <c:ptCount val="15"/>
                <c:pt idx="0">
                  <c:v>420</c:v>
                </c:pt>
                <c:pt idx="1">
                  <c:v>460</c:v>
                </c:pt>
                <c:pt idx="2">
                  <c:v>500</c:v>
                </c:pt>
                <c:pt idx="3">
                  <c:v>480</c:v>
                </c:pt>
                <c:pt idx="4">
                  <c:v>510</c:v>
                </c:pt>
                <c:pt idx="5">
                  <c:v>530</c:v>
                </c:pt>
                <c:pt idx="6">
                  <c:v>540</c:v>
                </c:pt>
                <c:pt idx="7">
                  <c:v>760</c:v>
                </c:pt>
                <c:pt idx="8">
                  <c:v>790</c:v>
                </c:pt>
                <c:pt idx="9">
                  <c:v>820</c:v>
                </c:pt>
                <c:pt idx="10">
                  <c:v>870</c:v>
                </c:pt>
                <c:pt idx="11">
                  <c:v>890</c:v>
                </c:pt>
                <c:pt idx="12">
                  <c:v>910</c:v>
                </c:pt>
                <c:pt idx="13">
                  <c:v>980</c:v>
                </c:pt>
                <c:pt idx="14">
                  <c:v>1020</c:v>
                </c:pt>
              </c:strCache>
            </c:strRef>
          </c:cat>
          <c:val>
            <c:numRef>
              <c:f>'Pivot Tables'!$C$10:$C$25</c:f>
              <c:numCache>
                <c:formatCode>"$"#,##0.00</c:formatCode>
                <c:ptCount val="15"/>
                <c:pt idx="0">
                  <c:v>150800</c:v>
                </c:pt>
                <c:pt idx="1">
                  <c:v>161000</c:v>
                </c:pt>
                <c:pt idx="2">
                  <c:v>166200</c:v>
                </c:pt>
                <c:pt idx="3">
                  <c:v>171500</c:v>
                </c:pt>
                <c:pt idx="4">
                  <c:v>173600</c:v>
                </c:pt>
                <c:pt idx="5">
                  <c:v>176800</c:v>
                </c:pt>
                <c:pt idx="6">
                  <c:v>182000</c:v>
                </c:pt>
                <c:pt idx="7">
                  <c:v>213500</c:v>
                </c:pt>
                <c:pt idx="8">
                  <c:v>219000</c:v>
                </c:pt>
                <c:pt idx="9">
                  <c:v>224500</c:v>
                </c:pt>
                <c:pt idx="10">
                  <c:v>245000</c:v>
                </c:pt>
                <c:pt idx="11">
                  <c:v>250500</c:v>
                </c:pt>
                <c:pt idx="12">
                  <c:v>256000</c:v>
                </c:pt>
                <c:pt idx="13">
                  <c:v>277500</c:v>
                </c:pt>
                <c:pt idx="14">
                  <c:v>288000</c:v>
                </c:pt>
              </c:numCache>
            </c:numRef>
          </c:val>
          <c:smooth val="0"/>
          <c:extLst>
            <c:ext xmlns:c16="http://schemas.microsoft.com/office/drawing/2014/chart" uri="{C3380CC4-5D6E-409C-BE32-E72D297353CC}">
              <c16:uniqueId val="{00000000-FACD-F64B-A4CD-CF432B27EC09}"/>
            </c:ext>
          </c:extLst>
        </c:ser>
        <c:dLbls>
          <c:showLegendKey val="0"/>
          <c:showVal val="0"/>
          <c:showCatName val="0"/>
          <c:showSerName val="0"/>
          <c:showPercent val="0"/>
          <c:showBubbleSize val="0"/>
        </c:dLbls>
        <c:marker val="1"/>
        <c:smooth val="0"/>
        <c:axId val="952916463"/>
        <c:axId val="952414559"/>
      </c:lineChart>
      <c:catAx>
        <c:axId val="95291646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2414559"/>
        <c:crosses val="autoZero"/>
        <c:auto val="1"/>
        <c:lblAlgn val="ctr"/>
        <c:lblOffset val="100"/>
        <c:noMultiLvlLbl val="0"/>
      </c:catAx>
      <c:valAx>
        <c:axId val="952414559"/>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291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[Compensation Analyst Project.xlsx]Pivot Tables!PivotTable11</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COMPENSATION Per provider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Tables'!$C$65</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 Tables'!$B$66:$B$81</c:f>
              <c:strCache>
                <c:ptCount val="15"/>
                <c:pt idx="0">
                  <c:v>Thomas</c:v>
                </c:pt>
                <c:pt idx="1">
                  <c:v>Hernandez</c:v>
                </c:pt>
                <c:pt idx="2">
                  <c:v>Miller</c:v>
                </c:pt>
                <c:pt idx="3">
                  <c:v>Brown</c:v>
                </c:pt>
                <c:pt idx="4">
                  <c:v>Wilson</c:v>
                </c:pt>
                <c:pt idx="5">
                  <c:v>Garcia</c:v>
                </c:pt>
                <c:pt idx="6">
                  <c:v>Johnson</c:v>
                </c:pt>
                <c:pt idx="7">
                  <c:v>Jones</c:v>
                </c:pt>
                <c:pt idx="8">
                  <c:v>Lopez</c:v>
                </c:pt>
                <c:pt idx="9">
                  <c:v>Smith</c:v>
                </c:pt>
                <c:pt idx="10">
                  <c:v>Martinez</c:v>
                </c:pt>
                <c:pt idx="11">
                  <c:v>Anderson</c:v>
                </c:pt>
                <c:pt idx="12">
                  <c:v>Williams</c:v>
                </c:pt>
                <c:pt idx="13">
                  <c:v>Gonzalez</c:v>
                </c:pt>
                <c:pt idx="14">
                  <c:v>Davis</c:v>
                </c:pt>
              </c:strCache>
            </c:strRef>
          </c:cat>
          <c:val>
            <c:numRef>
              <c:f>'Pivot Tables'!$C$66:$C$81</c:f>
              <c:numCache>
                <c:formatCode>"$"#,##0.00</c:formatCode>
                <c:ptCount val="15"/>
                <c:pt idx="0">
                  <c:v>150800</c:v>
                </c:pt>
                <c:pt idx="1">
                  <c:v>161000</c:v>
                </c:pt>
                <c:pt idx="2">
                  <c:v>166200</c:v>
                </c:pt>
                <c:pt idx="3">
                  <c:v>171500</c:v>
                </c:pt>
                <c:pt idx="4">
                  <c:v>173600</c:v>
                </c:pt>
                <c:pt idx="5">
                  <c:v>176800</c:v>
                </c:pt>
                <c:pt idx="6">
                  <c:v>182000</c:v>
                </c:pt>
                <c:pt idx="7">
                  <c:v>213500</c:v>
                </c:pt>
                <c:pt idx="8">
                  <c:v>219000</c:v>
                </c:pt>
                <c:pt idx="9">
                  <c:v>224500</c:v>
                </c:pt>
                <c:pt idx="10">
                  <c:v>245000</c:v>
                </c:pt>
                <c:pt idx="11">
                  <c:v>250500</c:v>
                </c:pt>
                <c:pt idx="12">
                  <c:v>256000</c:v>
                </c:pt>
                <c:pt idx="13">
                  <c:v>277500</c:v>
                </c:pt>
                <c:pt idx="14">
                  <c:v>288000</c:v>
                </c:pt>
              </c:numCache>
            </c:numRef>
          </c:val>
          <c:extLst>
            <c:ext xmlns:c16="http://schemas.microsoft.com/office/drawing/2014/chart" uri="{C3380CC4-5D6E-409C-BE32-E72D297353CC}">
              <c16:uniqueId val="{00000000-ED99-A940-83B7-A8A589A87C97}"/>
            </c:ext>
          </c:extLst>
        </c:ser>
        <c:dLbls>
          <c:showLegendKey val="0"/>
          <c:showVal val="0"/>
          <c:showCatName val="0"/>
          <c:showSerName val="0"/>
          <c:showPercent val="0"/>
          <c:showBubbleSize val="0"/>
        </c:dLbls>
        <c:gapWidth val="164"/>
        <c:overlap val="-22"/>
        <c:axId val="2070626623"/>
        <c:axId val="2130601823"/>
      </c:barChart>
      <c:catAx>
        <c:axId val="20706266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01823"/>
        <c:crosses val="autoZero"/>
        <c:auto val="1"/>
        <c:lblAlgn val="ctr"/>
        <c:lblOffset val="100"/>
        <c:noMultiLvlLbl val="0"/>
      </c:catAx>
      <c:valAx>
        <c:axId val="213060182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62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[Compensation Analyst Project.xlsx]Pivot Tables!PivotTable6</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Percentage of Total Compensation Per Specialty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Tables'!$C$107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24F-8944-843A-A02B0F9B089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24F-8944-843A-A02B0F9B089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24F-8944-843A-A02B0F9B089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24F-8944-843A-A02B0F9B089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24F-8944-843A-A02B0F9B0896}"/>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Tables'!$B$108:$B$113</c:f>
              <c:strCache>
                <c:ptCount val="5"/>
                <c:pt idx="0">
                  <c:v>Cardiology</c:v>
                </c:pt>
                <c:pt idx="1">
                  <c:v>Endocrinology</c:v>
                </c:pt>
                <c:pt idx="2">
                  <c:v>Gastroenterology</c:v>
                </c:pt>
                <c:pt idx="3">
                  <c:v>Neurology</c:v>
                </c:pt>
                <c:pt idx="4">
                  <c:v>Orthopedics</c:v>
                </c:pt>
              </c:strCache>
            </c:strRef>
          </c:cat>
          <c:val>
            <c:numRef>
              <c:f>'Pivot Tables'!$C$108:$C$113</c:f>
              <c:numCache>
                <c:formatCode>0%</c:formatCode>
                <c:ptCount val="5"/>
                <c:pt idx="0">
                  <c:v>0.17918818720491778</c:v>
                </c:pt>
                <c:pt idx="1">
                  <c:v>0.20913210177762287</c:v>
                </c:pt>
                <c:pt idx="2">
                  <c:v>0.16537279381475967</c:v>
                </c:pt>
                <c:pt idx="3">
                  <c:v>0.23812541588770239</c:v>
                </c:pt>
                <c:pt idx="4">
                  <c:v>0.2081815013149973</c:v>
                </c:pt>
              </c:numCache>
            </c:numRef>
          </c:val>
          <c:extLst>
            <c:ext xmlns:c16="http://schemas.microsoft.com/office/drawing/2014/chart" uri="{C3380CC4-5D6E-409C-BE32-E72D297353CC}">
              <c16:uniqueId val="{0000000A-B24F-8944-843A-A02B0F9B089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[Compensation Analyst Project.xlsx]Pivot Tables!PivotTable8</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Compensation per Visit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'Pivot Tables'!$E$33:$E$53</c:f>
              <c:multiLvlStrCache>
                <c:ptCount val="15"/>
                <c:lvl>
                  <c:pt idx="0">
                    <c:v>Davis</c:v>
                  </c:pt>
                  <c:pt idx="1">
                    <c:v>Gonzalez</c:v>
                  </c:pt>
                  <c:pt idx="2">
                    <c:v>Anderson</c:v>
                  </c:pt>
                  <c:pt idx="3">
                    <c:v>Martinez</c:v>
                  </c:pt>
                  <c:pt idx="4">
                    <c:v>Williams</c:v>
                  </c:pt>
                  <c:pt idx="5">
                    <c:v>Jones</c:v>
                  </c:pt>
                  <c:pt idx="6">
                    <c:v>Lopez</c:v>
                  </c:pt>
                  <c:pt idx="7">
                    <c:v>Smith</c:v>
                  </c:pt>
                  <c:pt idx="8">
                    <c:v>Hernandez</c:v>
                  </c:pt>
                  <c:pt idx="9">
                    <c:v>Johnson</c:v>
                  </c:pt>
                  <c:pt idx="10">
                    <c:v>Miller</c:v>
                  </c:pt>
                  <c:pt idx="11">
                    <c:v>Thomas</c:v>
                  </c:pt>
                  <c:pt idx="12">
                    <c:v>Brown</c:v>
                  </c:pt>
                  <c:pt idx="13">
                    <c:v>Garcia</c:v>
                  </c:pt>
                  <c:pt idx="14">
                    <c:v>Wilson</c:v>
                  </c:pt>
                </c:lvl>
                <c:lvl>
                  <c:pt idx="0">
                    <c:v>Cardiology</c:v>
                  </c:pt>
                  <c:pt idx="2">
                    <c:v>Neurology</c:v>
                  </c:pt>
                  <c:pt idx="5">
                    <c:v>Orthopedics</c:v>
                  </c:pt>
                  <c:pt idx="8">
                    <c:v>Endocrinology</c:v>
                  </c:pt>
                  <c:pt idx="12">
                    <c:v>Gastroenterology</c:v>
                  </c:pt>
                </c:lvl>
              </c:multiLvlStrCache>
            </c:multiLvlStrRef>
          </c:cat>
          <c:val>
            <c:numRef>
              <c:f>'Pivot Tables'!$F$33:$F$53</c:f>
              <c:numCache>
                <c:formatCode>"$"#,##0.00</c:formatCode>
                <c:ptCount val="15"/>
                <c:pt idx="0">
                  <c:v>100</c:v>
                </c:pt>
                <c:pt idx="1">
                  <c:v>100.54347826086956</c:v>
                </c:pt>
                <c:pt idx="2">
                  <c:v>83.5</c:v>
                </c:pt>
                <c:pt idx="3">
                  <c:v>80.06535947712419</c:v>
                </c:pt>
                <c:pt idx="4">
                  <c:v>82.051282051282044</c:v>
                </c:pt>
                <c:pt idx="5">
                  <c:v>60.310734463276837</c:v>
                </c:pt>
                <c:pt idx="6">
                  <c:v>60.833333333333336</c:v>
                </c:pt>
                <c:pt idx="7">
                  <c:v>60.349462365591393</c:v>
                </c:pt>
                <c:pt idx="8">
                  <c:v>51.602564102564102</c:v>
                </c:pt>
                <c:pt idx="9">
                  <c:v>54.166666666666664</c:v>
                </c:pt>
                <c:pt idx="10">
                  <c:v>51.296296296296298</c:v>
                </c:pt>
                <c:pt idx="11">
                  <c:v>52.361111111111107</c:v>
                </c:pt>
                <c:pt idx="12">
                  <c:v>47.638888888888886</c:v>
                </c:pt>
                <c:pt idx="13">
                  <c:v>27.79874213836478</c:v>
                </c:pt>
                <c:pt idx="14">
                  <c:v>47.431693989071036</c:v>
                </c:pt>
              </c:numCache>
            </c:numRef>
          </c:val>
          <c:extLst>
            <c:ext xmlns:c16="http://schemas.microsoft.com/office/drawing/2014/chart" uri="{C3380CC4-5D6E-409C-BE32-E72D297353CC}">
              <c16:uniqueId val="{00000000-DEE7-0D4A-8B47-D14BE57F174E}"/>
            </c:ext>
          </c:extLst>
        </c:ser>
        <c:dLbls>
          <c:showLegendKey val="0"/>
          <c:showVal val="0"/>
          <c:showCatName val="0"/>
          <c:showSerName val="0"/>
          <c:showPercent val="0"/>
          <c:showBubbleSize val="0"/>
        </c:dLbls>
        <c:gapWidth val="100"/>
        <c:overlap val="-24"/>
        <c:axId val="1047084639"/>
        <c:axId val="1047086351"/>
      </c:barChart>
      <c:catAx>
        <c:axId val="10470846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7086351"/>
        <c:crosses val="autoZero"/>
        <c:auto val="1"/>
        <c:lblAlgn val="ctr"/>
        <c:lblOffset val="100"/>
        <c:noMultiLvlLbl val="0"/>
      </c:catAx>
      <c:valAx>
        <c:axId val="1047086351"/>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708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[Compensation Analyst Project.xlsx]Pivot Tables!PivotTable25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Variance</a:t>
            </a:r>
            <a:r>
              <a:rPr lang="en-US" baseline="0"/>
              <a:t> from Target Salary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6"/>
          <c:spPr>
            <a:solidFill>
              <a:schemeClr val="accent3"/>
            </a:solidFill>
            <a:ln w="12700" cap="flat" cmpd="sng" algn="ctr">
              <a:solidFill>
                <a:schemeClr val="accent3"/>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'Pivot Tables'!$F$9</c:f>
              <c:strCache>
                <c:ptCount val="1"/>
                <c:pt idx="0">
                  <c:v>Total</c:v>
                </c:pt>
              </c:strCache>
            </c:strRef>
          </c:tx>
          <c:spPr>
            <a:solidFill>
              <a:schemeClr val="accent3"/>
            </a:solidFill>
            <a:ln>
              <a:noFill/>
            </a:ln>
            <a:effectLst/>
          </c:spPr>
          <c:invertIfNegative val="0"/>
          <c:cat>
            <c:strRef>
              <c:f>'Pivot Tables'!$E$10:$E$25</c:f>
              <c:strCache>
                <c:ptCount val="15"/>
                <c:pt idx="0">
                  <c:v>Miller</c:v>
                </c:pt>
                <c:pt idx="1">
                  <c:v>Garcia</c:v>
                </c:pt>
                <c:pt idx="2">
                  <c:v>Johnson</c:v>
                </c:pt>
                <c:pt idx="3">
                  <c:v>Smith</c:v>
                </c:pt>
                <c:pt idx="4">
                  <c:v>Wilson</c:v>
                </c:pt>
                <c:pt idx="5">
                  <c:v>Davis</c:v>
                </c:pt>
                <c:pt idx="6">
                  <c:v>Williams</c:v>
                </c:pt>
                <c:pt idx="7">
                  <c:v>Lopez</c:v>
                </c:pt>
                <c:pt idx="8">
                  <c:v>Anderson</c:v>
                </c:pt>
                <c:pt idx="9">
                  <c:v>Martinez</c:v>
                </c:pt>
                <c:pt idx="10">
                  <c:v>Gonzalez</c:v>
                </c:pt>
                <c:pt idx="11">
                  <c:v>Hernandez</c:v>
                </c:pt>
                <c:pt idx="12">
                  <c:v>Jones</c:v>
                </c:pt>
                <c:pt idx="13">
                  <c:v>Thomas</c:v>
                </c:pt>
                <c:pt idx="14">
                  <c:v>Brown</c:v>
                </c:pt>
              </c:strCache>
            </c:strRef>
          </c:cat>
          <c:val>
            <c:numRef>
              <c:f>'Pivot Tables'!$F$10:$F$25</c:f>
              <c:numCache>
                <c:formatCode>"$"#,##0.00</c:formatCode>
                <c:ptCount val="15"/>
                <c:pt idx="0">
                  <c:v>-6110.5820105820021</c:v>
                </c:pt>
                <c:pt idx="1">
                  <c:v>-5390.8088235293981</c:v>
                </c:pt>
                <c:pt idx="2">
                  <c:v>-4095.4285714285506</c:v>
                </c:pt>
                <c:pt idx="3">
                  <c:v>-2890.5729513657279</c:v>
                </c:pt>
                <c:pt idx="4">
                  <c:v>-1715.6839622641564</c:v>
                </c:pt>
                <c:pt idx="5">
                  <c:v>-413.26530612242641</c:v>
                </c:pt>
                <c:pt idx="6">
                  <c:v>-131.19376641267445</c:v>
                </c:pt>
                <c:pt idx="7">
                  <c:v>-71.405648267013021</c:v>
                </c:pt>
                <c:pt idx="8">
                  <c:v>-1.9367605574370828</c:v>
                </c:pt>
                <c:pt idx="9">
                  <c:v>127.32024529780028</c:v>
                </c:pt>
                <c:pt idx="10">
                  <c:v>397.05882352939807</c:v>
                </c:pt>
                <c:pt idx="11">
                  <c:v>2474.2645502645464</c:v>
                </c:pt>
                <c:pt idx="12">
                  <c:v>2747.7616548317601</c:v>
                </c:pt>
                <c:pt idx="13">
                  <c:v>6059.111111111124</c:v>
                </c:pt>
                <c:pt idx="14">
                  <c:v>6497.0033296337642</c:v>
                </c:pt>
              </c:numCache>
            </c:numRef>
          </c:val>
          <c:extLst>
            <c:ext xmlns:c16="http://schemas.microsoft.com/office/drawing/2014/chart" uri="{C3380CC4-5D6E-409C-BE32-E72D297353CC}">
              <c16:uniqueId val="{00000004-7457-4040-9922-5558020E79B3}"/>
            </c:ext>
          </c:extLst>
        </c:ser>
        <c:dLbls>
          <c:showLegendKey val="0"/>
          <c:showVal val="0"/>
          <c:showCatName val="0"/>
          <c:showSerName val="0"/>
          <c:showPercent val="0"/>
          <c:showBubbleSize val="0"/>
        </c:dLbls>
        <c:gapWidth val="100"/>
        <c:axId val="305121744"/>
        <c:axId val="1070522591"/>
      </c:barChart>
      <c:catAx>
        <c:axId val="3051217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prstDash val="solid"/>
            <a:round/>
          </a:ln>
          <a:effectLst/>
        </c:spPr>
        <c:txPr>
          <a:bodyPr rot="-60000000" spcFirstLastPara="1" vertOverflow="ellipsis" vert="horz" wrap="square" anchor="ctr" anchorCtr="1"/>
          <a:lstStyle/>
          <a:p>
            <a:pPr>
              <a:defRPr sz="1400" b="0" i="0" u="none" strike="noStrike" kern="1200" baseline="0">
                <a:solidFill>
                  <a:schemeClr val="accent2"/>
                </a:solidFill>
                <a:latin typeface="+mn-lt"/>
                <a:ea typeface="+mn-ea"/>
                <a:cs typeface="+mn-cs"/>
              </a:defRPr>
            </a:pPr>
            <a:endParaRPr lang="en-US"/>
          </a:p>
        </c:txPr>
        <c:crossAx val="1070522591"/>
        <c:crosses val="autoZero"/>
        <c:auto val="1"/>
        <c:lblAlgn val="ctr"/>
        <c:lblOffset val="100"/>
        <c:noMultiLvlLbl val="0"/>
      </c:catAx>
      <c:valAx>
        <c:axId val="1070522591"/>
        <c:scaling>
          <c:orientation val="minMax"/>
        </c:scaling>
        <c:delete val="0"/>
        <c:axPos val="b"/>
        <c:majorGridlines>
          <c:spPr>
            <a:ln w="9525" cap="flat" cmpd="sng" algn="ctr">
              <a:solidFill>
                <a:schemeClr val="tx2">
                  <a:lumMod val="15000"/>
                  <a:lumOff val="85000"/>
                </a:schemeClr>
              </a:solidFill>
              <a:prstDash val="solid"/>
              <a:round/>
            </a:ln>
            <a:effectLst/>
          </c:spPr>
        </c:majorGridlines>
        <c:numFmt formatCode="&quot;$&quot;#,##0.00"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crossAx val="305121744"/>
        <c:crosses val="autoZero"/>
        <c:crossBetween val="between"/>
        <c:majorUnit val="5000"/>
      </c:valAx>
      <c:spPr>
        <a:noFill/>
        <a:ln>
          <a:noFill/>
        </a:ln>
        <a:effectLst/>
      </c:spPr>
    </c:plotArea>
    <c:plotVisOnly val="1"/>
    <c:dispBlanksAs val="gap"/>
    <c:showDLblsOverMax val="0"/>
    <c:extLst/>
  </c:chart>
  <c:spPr>
    <a:solidFill>
      <a:schemeClr val="bg1"/>
    </a:solidFill>
    <a:ln w="12700" cap="flat" cmpd="sng" algn="ctr">
      <a:solidFill>
        <a:schemeClr val="bg1"/>
      </a:solidFill>
      <a:prstDash val="solid"/>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105">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952500</xdr:colOff>
      <xdr:row>25</xdr:row>
      <xdr:rowOff>163289</xdr:rowOff>
    </xdr:from>
    <xdr:ext cx="6174828" cy="1031629"/>
    <xdr:sp macro="" textlink="">
      <xdr:nvSpPr>
        <xdr:cNvPr id="6" name="TextBox 5">
          <a:extLst>
            <a:ext uri="{FF2B5EF4-FFF2-40B4-BE49-F238E27FC236}">
              <a16:creationId xmlns:a16="http://schemas.microsoft.com/office/drawing/2014/main" id="{C2C572BC-223F-6A30-D7CD-983131A24E73}"/>
            </a:ext>
          </a:extLst>
        </xdr:cNvPr>
        <xdr:cNvSpPr txBox="1"/>
      </xdr:nvSpPr>
      <xdr:spPr>
        <a:xfrm>
          <a:off x="952500" y="5363720"/>
          <a:ext cx="6174828" cy="1031629"/>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nchorCtr="1">
          <a:spAutoFit/>
        </a:bodyPr>
        <a:lstStyle/>
        <a:p>
          <a:pPr algn="ctr"/>
          <a:r>
            <a:rPr lang="en-US" sz="2000"/>
            <a:t>Comparison of averages of Monthly RVUs, Compensation per RVU, Compensation per Visit, and Total Compenstaion according to specialty. </a:t>
          </a:r>
        </a:p>
      </xdr:txBody>
    </xdr:sp>
    <xdr:clientData/>
  </xdr:oneCellAnchor>
  <xdr:oneCellAnchor>
    <xdr:from>
      <xdr:col>1</xdr:col>
      <xdr:colOff>546100</xdr:colOff>
      <xdr:row>4</xdr:row>
      <xdr:rowOff>38100</xdr:rowOff>
    </xdr:from>
    <xdr:ext cx="7048500" cy="405304"/>
    <xdr:sp macro="" textlink="">
      <xdr:nvSpPr>
        <xdr:cNvPr id="7" name="TextBox 6">
          <a:extLst>
            <a:ext uri="{FF2B5EF4-FFF2-40B4-BE49-F238E27FC236}">
              <a16:creationId xmlns:a16="http://schemas.microsoft.com/office/drawing/2014/main" id="{0E61CB99-A3E3-1C81-7F9E-F7C58484917E}"/>
            </a:ext>
          </a:extLst>
        </xdr:cNvPr>
        <xdr:cNvSpPr txBox="1"/>
      </xdr:nvSpPr>
      <xdr:spPr>
        <a:xfrm>
          <a:off x="1536700" y="850900"/>
          <a:ext cx="7048500" cy="405304"/>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ctr"/>
          <a:r>
            <a:rPr lang="en-US" sz="2000"/>
            <a:t>Question: Are the employees paid fairly as relative to their RVUs? </a:t>
          </a:r>
        </a:p>
      </xdr:txBody>
    </xdr:sp>
    <xdr:clientData/>
  </xdr:oneCellAnchor>
  <xdr:oneCellAnchor>
    <xdr:from>
      <xdr:col>1</xdr:col>
      <xdr:colOff>0</xdr:colOff>
      <xdr:row>58</xdr:row>
      <xdr:rowOff>207889</xdr:rowOff>
    </xdr:from>
    <xdr:ext cx="8559800" cy="718530"/>
    <xdr:sp macro="" textlink="">
      <xdr:nvSpPr>
        <xdr:cNvPr id="9" name="TextBox 8">
          <a:extLst>
            <a:ext uri="{FF2B5EF4-FFF2-40B4-BE49-F238E27FC236}">
              <a16:creationId xmlns:a16="http://schemas.microsoft.com/office/drawing/2014/main" id="{803F3156-7E8B-9242-9FF9-70830F599CA7}"/>
            </a:ext>
          </a:extLst>
        </xdr:cNvPr>
        <xdr:cNvSpPr txBox="1"/>
      </xdr:nvSpPr>
      <xdr:spPr>
        <a:xfrm>
          <a:off x="985345" y="12272889"/>
          <a:ext cx="8559800" cy="71853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nchorCtr="1">
          <a:spAutoFit/>
        </a:bodyPr>
        <a:lstStyle/>
        <a:p>
          <a:pPr algn="ctr"/>
          <a:r>
            <a:rPr lang="en-US" sz="2000"/>
            <a:t>What are the current total compensation, base salary,</a:t>
          </a:r>
          <a:r>
            <a:rPr lang="en-US" sz="2000" baseline="0"/>
            <a:t> bonuses, and monthly RVUs of each provider? </a:t>
          </a:r>
          <a:endParaRPr lang="en-US" sz="2000"/>
        </a:p>
      </xdr:txBody>
    </xdr:sp>
    <xdr:clientData/>
  </xdr:oneCellAnchor>
  <xdr:oneCellAnchor>
    <xdr:from>
      <xdr:col>1</xdr:col>
      <xdr:colOff>0</xdr:colOff>
      <xdr:row>102</xdr:row>
      <xdr:rowOff>85776</xdr:rowOff>
    </xdr:from>
    <xdr:ext cx="7203965" cy="718530"/>
    <xdr:sp macro="" textlink="">
      <xdr:nvSpPr>
        <xdr:cNvPr id="10" name="TextBox 9">
          <a:extLst>
            <a:ext uri="{FF2B5EF4-FFF2-40B4-BE49-F238E27FC236}">
              <a16:creationId xmlns:a16="http://schemas.microsoft.com/office/drawing/2014/main" id="{49612DDB-56BC-714B-A3C5-AC01094A61C5}"/>
            </a:ext>
          </a:extLst>
        </xdr:cNvPr>
        <xdr:cNvSpPr txBox="1"/>
      </xdr:nvSpPr>
      <xdr:spPr>
        <a:xfrm>
          <a:off x="985345" y="21303535"/>
          <a:ext cx="7203965" cy="71853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nchorCtr="1">
          <a:spAutoFit/>
        </a:bodyPr>
        <a:lstStyle/>
        <a:p>
          <a:pPr algn="ctr"/>
          <a:r>
            <a:rPr lang="en-US" sz="2000"/>
            <a:t>What</a:t>
          </a:r>
          <a:r>
            <a:rPr lang="en-US" sz="2000" baseline="0"/>
            <a:t> percentage of the total compensation is allotted to each specialty? </a:t>
          </a:r>
          <a:endParaRPr lang="en-US" sz="20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50801</xdr:rowOff>
    </xdr:from>
    <xdr:to>
      <xdr:col>19</xdr:col>
      <xdr:colOff>734458</xdr:colOff>
      <xdr:row>4</xdr:row>
      <xdr:rowOff>122409</xdr:rowOff>
    </xdr:to>
    <xdr:sp macro="" textlink="">
      <xdr:nvSpPr>
        <xdr:cNvPr id="2" name="TextBox 1">
          <a:extLst>
            <a:ext uri="{FF2B5EF4-FFF2-40B4-BE49-F238E27FC236}">
              <a16:creationId xmlns:a16="http://schemas.microsoft.com/office/drawing/2014/main" id="{A3E7C687-054E-969A-726F-28A51A3607BB}"/>
            </a:ext>
          </a:extLst>
        </xdr:cNvPr>
        <xdr:cNvSpPr txBox="1"/>
      </xdr:nvSpPr>
      <xdr:spPr>
        <a:xfrm>
          <a:off x="76200" y="50801"/>
          <a:ext cx="16357294" cy="867271"/>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US" sz="3200"/>
            <a:t>PROVIDER COMPENSATION AND</a:t>
          </a:r>
          <a:r>
            <a:rPr lang="en-US" sz="3200" baseline="0"/>
            <a:t> PRODUCTIVITY</a:t>
          </a:r>
          <a:endParaRPr lang="en-US" sz="3200"/>
        </a:p>
      </xdr:txBody>
    </xdr:sp>
    <xdr:clientData/>
  </xdr:twoCellAnchor>
  <xdr:twoCellAnchor>
    <xdr:from>
      <xdr:col>2</xdr:col>
      <xdr:colOff>368300</xdr:colOff>
      <xdr:row>12</xdr:row>
      <xdr:rowOff>136559</xdr:rowOff>
    </xdr:from>
    <xdr:to>
      <xdr:col>10</xdr:col>
      <xdr:colOff>522111</xdr:colOff>
      <xdr:row>26</xdr:row>
      <xdr:rowOff>76200</xdr:rowOff>
    </xdr:to>
    <xdr:graphicFrame macro="">
      <xdr:nvGraphicFramePr>
        <xdr:cNvPr id="3" name="Chart 2">
          <a:extLst>
            <a:ext uri="{FF2B5EF4-FFF2-40B4-BE49-F238E27FC236}">
              <a16:creationId xmlns:a16="http://schemas.microsoft.com/office/drawing/2014/main" id="{2A8C6830-50C6-7440-83B9-3388C1989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14</xdr:row>
      <xdr:rowOff>76200</xdr:rowOff>
    </xdr:from>
    <xdr:to>
      <xdr:col>2</xdr:col>
      <xdr:colOff>254000</xdr:colOff>
      <xdr:row>37</xdr:row>
      <xdr:rowOff>127000</xdr:rowOff>
    </xdr:to>
    <mc:AlternateContent xmlns:mc="http://schemas.openxmlformats.org/markup-compatibility/2006" xmlns:a14="http://schemas.microsoft.com/office/drawing/2010/main">
      <mc:Choice Requires="a14">
        <xdr:graphicFrame macro="">
          <xdr:nvGraphicFramePr>
            <xdr:cNvPr id="4" name="Provider Name">
              <a:extLst>
                <a:ext uri="{FF2B5EF4-FFF2-40B4-BE49-F238E27FC236}">
                  <a16:creationId xmlns:a16="http://schemas.microsoft.com/office/drawing/2014/main" id="{B8558936-F8ED-A6EB-18A4-F678E817871A}"/>
                </a:ext>
              </a:extLst>
            </xdr:cNvPr>
            <xdr:cNvGraphicFramePr/>
          </xdr:nvGraphicFramePr>
          <xdr:xfrm>
            <a:off x="0" y="0"/>
            <a:ext cx="0" cy="0"/>
          </xdr:xfrm>
          <a:graphic>
            <a:graphicData uri="http://schemas.microsoft.com/office/drawing/2010/slicer">
              <sle:slicer xmlns:sle="http://schemas.microsoft.com/office/drawing/2010/slicer" name="Provider Name"/>
            </a:graphicData>
          </a:graphic>
        </xdr:graphicFrame>
      </mc:Choice>
      <mc:Fallback xmlns="">
        <xdr:sp macro="" textlink="">
          <xdr:nvSpPr>
            <xdr:cNvPr id="0" name=""/>
            <xdr:cNvSpPr>
              <a:spLocks noTextEdit="1"/>
            </xdr:cNvSpPr>
          </xdr:nvSpPr>
          <xdr:spPr>
            <a:xfrm>
              <a:off x="76200" y="2841978"/>
              <a:ext cx="1842911" cy="4594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4</xdr:row>
      <xdr:rowOff>139699</xdr:rowOff>
    </xdr:from>
    <xdr:to>
      <xdr:col>2</xdr:col>
      <xdr:colOff>254000</xdr:colOff>
      <xdr:row>13</xdr:row>
      <xdr:rowOff>169334</xdr:rowOff>
    </xdr:to>
    <mc:AlternateContent xmlns:mc="http://schemas.openxmlformats.org/markup-compatibility/2006" xmlns:a14="http://schemas.microsoft.com/office/drawing/2010/main">
      <mc:Choice Requires="a14">
        <xdr:graphicFrame macro="">
          <xdr:nvGraphicFramePr>
            <xdr:cNvPr id="5" name="Specialty">
              <a:extLst>
                <a:ext uri="{FF2B5EF4-FFF2-40B4-BE49-F238E27FC236}">
                  <a16:creationId xmlns:a16="http://schemas.microsoft.com/office/drawing/2014/main" id="{131A7F47-26A5-BB06-76C7-A18DAAA0DF89}"/>
                </a:ext>
              </a:extLst>
            </xdr:cNvPr>
            <xdr:cNvGraphicFramePr/>
          </xdr:nvGraphicFramePr>
          <xdr:xfrm>
            <a:off x="0" y="0"/>
            <a:ext cx="0" cy="0"/>
          </xdr:xfrm>
          <a:graphic>
            <a:graphicData uri="http://schemas.microsoft.com/office/drawing/2010/slicer">
              <sle:slicer xmlns:sle="http://schemas.microsoft.com/office/drawing/2010/slicer" name="Specialty"/>
            </a:graphicData>
          </a:graphic>
        </xdr:graphicFrame>
      </mc:Choice>
      <mc:Fallback xmlns="">
        <xdr:sp macro="" textlink="">
          <xdr:nvSpPr>
            <xdr:cNvPr id="0" name=""/>
            <xdr:cNvSpPr>
              <a:spLocks noTextEdit="1"/>
            </xdr:cNvSpPr>
          </xdr:nvSpPr>
          <xdr:spPr>
            <a:xfrm>
              <a:off x="76200" y="952499"/>
              <a:ext cx="1828800" cy="1790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368300</xdr:colOff>
      <xdr:row>26</xdr:row>
      <xdr:rowOff>139700</xdr:rowOff>
    </xdr:from>
    <xdr:to>
      <xdr:col>8</xdr:col>
      <xdr:colOff>238125</xdr:colOff>
      <xdr:row>42</xdr:row>
      <xdr:rowOff>139700</xdr:rowOff>
    </xdr:to>
    <xdr:graphicFrame macro="">
      <xdr:nvGraphicFramePr>
        <xdr:cNvPr id="8" name="Total compensation">
          <a:extLst>
            <a:ext uri="{FF2B5EF4-FFF2-40B4-BE49-F238E27FC236}">
              <a16:creationId xmlns:a16="http://schemas.microsoft.com/office/drawing/2014/main" id="{7F4201B9-1BFD-4340-AF35-A9FAFC337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355596</xdr:colOff>
      <xdr:row>5</xdr:row>
      <xdr:rowOff>12701</xdr:rowOff>
    </xdr:from>
    <xdr:ext cx="1295400" cy="406400"/>
    <xdr:sp macro="" textlink="">
      <xdr:nvSpPr>
        <xdr:cNvPr id="9" name="Rounded Rectangle 8">
          <a:extLst>
            <a:ext uri="{FF2B5EF4-FFF2-40B4-BE49-F238E27FC236}">
              <a16:creationId xmlns:a16="http://schemas.microsoft.com/office/drawing/2014/main" id="{EA22B38D-B4F3-7680-47EB-5D2C37F8BF4B}"/>
            </a:ext>
          </a:extLst>
        </xdr:cNvPr>
        <xdr:cNvSpPr/>
      </xdr:nvSpPr>
      <xdr:spPr>
        <a:xfrm>
          <a:off x="2834391" y="1007279"/>
          <a:ext cx="1295400" cy="406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US" sz="1200"/>
            <a:t>Total Providers</a:t>
          </a:r>
          <a:endParaRPr lang="en-US" sz="700"/>
        </a:p>
        <a:p>
          <a:pPr algn="l"/>
          <a:endParaRPr lang="en-US" sz="1100"/>
        </a:p>
      </xdr:txBody>
    </xdr:sp>
    <xdr:clientData/>
  </xdr:oneCellAnchor>
  <xdr:twoCellAnchor>
    <xdr:from>
      <xdr:col>3</xdr:col>
      <xdr:colOff>609596</xdr:colOff>
      <xdr:row>7</xdr:row>
      <xdr:rowOff>88901</xdr:rowOff>
    </xdr:from>
    <xdr:to>
      <xdr:col>4</xdr:col>
      <xdr:colOff>609596</xdr:colOff>
      <xdr:row>10</xdr:row>
      <xdr:rowOff>190501</xdr:rowOff>
    </xdr:to>
    <xdr:sp macro="" textlink="'Pivot Tables'!$B$85">
      <xdr:nvSpPr>
        <xdr:cNvPr id="10" name="Rounded Rectangle 9">
          <a:extLst>
            <a:ext uri="{FF2B5EF4-FFF2-40B4-BE49-F238E27FC236}">
              <a16:creationId xmlns:a16="http://schemas.microsoft.com/office/drawing/2014/main" id="{3358C9EF-F5AB-FF74-DEBE-3E92AE2123F7}"/>
            </a:ext>
          </a:extLst>
        </xdr:cNvPr>
        <xdr:cNvSpPr/>
      </xdr:nvSpPr>
      <xdr:spPr>
        <a:xfrm>
          <a:off x="3088391" y="1481311"/>
          <a:ext cx="826265" cy="698347"/>
        </a:xfrm>
        <a:prstGeom prst="roundRect">
          <a:avLst/>
        </a:prstGeom>
        <a:solidFill>
          <a:schemeClr val="bg1"/>
        </a:solidFill>
        <a:ln w="5715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4866DD-769C-4642-9901-CFCDD786F7EC}" type="TxLink">
            <a:rPr lang="en-US" sz="28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15</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5</xdr:col>
      <xdr:colOff>220432</xdr:colOff>
      <xdr:row>5</xdr:row>
      <xdr:rowOff>2926</xdr:rowOff>
    </xdr:from>
    <xdr:ext cx="1701800" cy="431800"/>
    <xdr:sp macro="" textlink="">
      <xdr:nvSpPr>
        <xdr:cNvPr id="11" name="Rounded Rectangle 10">
          <a:extLst>
            <a:ext uri="{FF2B5EF4-FFF2-40B4-BE49-F238E27FC236}">
              <a16:creationId xmlns:a16="http://schemas.microsoft.com/office/drawing/2014/main" id="{AE770481-B16E-A844-9A34-A7ED4E43DB84}"/>
            </a:ext>
          </a:extLst>
        </xdr:cNvPr>
        <xdr:cNvSpPr/>
      </xdr:nvSpPr>
      <xdr:spPr>
        <a:xfrm>
          <a:off x="4351757" y="997504"/>
          <a:ext cx="1701800" cy="431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US" sz="1200"/>
            <a:t>Total</a:t>
          </a:r>
          <a:r>
            <a:rPr lang="en-US" sz="1200" baseline="0"/>
            <a:t> Compensation</a:t>
          </a:r>
          <a:endParaRPr lang="en-US" sz="1200"/>
        </a:p>
        <a:p>
          <a:pPr algn="l"/>
          <a:endParaRPr lang="en-US" sz="1100"/>
        </a:p>
      </xdr:txBody>
    </xdr:sp>
    <xdr:clientData/>
  </xdr:oneCellAnchor>
  <xdr:twoCellAnchor>
    <xdr:from>
      <xdr:col>5</xdr:col>
      <xdr:colOff>220432</xdr:colOff>
      <xdr:row>7</xdr:row>
      <xdr:rowOff>112940</xdr:rowOff>
    </xdr:from>
    <xdr:to>
      <xdr:col>7</xdr:col>
      <xdr:colOff>271232</xdr:colOff>
      <xdr:row>11</xdr:row>
      <xdr:rowOff>11340</xdr:rowOff>
    </xdr:to>
    <xdr:sp macro="" textlink="'Pivot Tables'!$B$92">
      <xdr:nvSpPr>
        <xdr:cNvPr id="12" name="Rounded Rectangle 11">
          <a:extLst>
            <a:ext uri="{FF2B5EF4-FFF2-40B4-BE49-F238E27FC236}">
              <a16:creationId xmlns:a16="http://schemas.microsoft.com/office/drawing/2014/main" id="{2EFDD2E8-8208-1647-8747-102604BF1EF7}"/>
            </a:ext>
          </a:extLst>
        </xdr:cNvPr>
        <xdr:cNvSpPr/>
      </xdr:nvSpPr>
      <xdr:spPr>
        <a:xfrm>
          <a:off x="4351757" y="1505350"/>
          <a:ext cx="1703330" cy="694062"/>
        </a:xfrm>
        <a:prstGeom prst="roundRect">
          <a:avLst/>
        </a:prstGeom>
        <a:solidFill>
          <a:schemeClr val="bg1"/>
        </a:solidFill>
        <a:ln w="5715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2B5F9B-F5C7-4B41-8FE8-16320C0B0300}"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 $3,155,900.00 </a:t>
          </a:fld>
          <a:endParaRPr lang="en-US" sz="8800" b="0" i="0" u="none" strike="noStrike" cap="none" spc="0">
            <a:ln w="0"/>
            <a:solidFill>
              <a:schemeClr val="tx1"/>
            </a:solidFill>
            <a:effectLst>
              <a:outerShdw blurRad="38100" dist="19050" dir="2700000" algn="tl" rotWithShape="0">
                <a:schemeClr val="dk1">
                  <a:alpha val="40000"/>
                </a:schemeClr>
              </a:outerShdw>
            </a:effectLst>
            <a:latin typeface="Aptos Narrow"/>
          </a:endParaRPr>
        </a:p>
      </xdr:txBody>
    </xdr:sp>
    <xdr:clientData/>
  </xdr:twoCellAnchor>
  <xdr:oneCellAnchor>
    <xdr:from>
      <xdr:col>7</xdr:col>
      <xdr:colOff>635450</xdr:colOff>
      <xdr:row>5</xdr:row>
      <xdr:rowOff>12699</xdr:rowOff>
    </xdr:from>
    <xdr:ext cx="1701800" cy="406402"/>
    <xdr:sp macro="" textlink="">
      <xdr:nvSpPr>
        <xdr:cNvPr id="13" name="Rounded Rectangle 12">
          <a:extLst>
            <a:ext uri="{FF2B5EF4-FFF2-40B4-BE49-F238E27FC236}">
              <a16:creationId xmlns:a16="http://schemas.microsoft.com/office/drawing/2014/main" id="{4C2350F6-8659-2547-8257-F16609E52AB5}"/>
            </a:ext>
          </a:extLst>
        </xdr:cNvPr>
        <xdr:cNvSpPr/>
      </xdr:nvSpPr>
      <xdr:spPr>
        <a:xfrm>
          <a:off x="6419305" y="1007277"/>
          <a:ext cx="1701800" cy="4064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US" sz="1200"/>
            <a:t>Comp</a:t>
          </a:r>
          <a:r>
            <a:rPr lang="en-US" sz="1200" baseline="0"/>
            <a:t> per Visit</a:t>
          </a:r>
          <a:endParaRPr lang="en-US" sz="1200"/>
        </a:p>
        <a:p>
          <a:pPr algn="l"/>
          <a:endParaRPr lang="en-US" sz="1100"/>
        </a:p>
      </xdr:txBody>
    </xdr:sp>
    <xdr:clientData/>
  </xdr:oneCellAnchor>
  <xdr:twoCellAnchor>
    <xdr:from>
      <xdr:col>7</xdr:col>
      <xdr:colOff>622750</xdr:colOff>
      <xdr:row>7</xdr:row>
      <xdr:rowOff>101601</xdr:rowOff>
    </xdr:from>
    <xdr:to>
      <xdr:col>9</xdr:col>
      <xdr:colOff>673549</xdr:colOff>
      <xdr:row>11</xdr:row>
      <xdr:rowOff>1</xdr:rowOff>
    </xdr:to>
    <xdr:sp macro="" textlink="'Pivot Tables'!$B$88">
      <xdr:nvSpPr>
        <xdr:cNvPr id="14" name="Rounded Rectangle 13">
          <a:extLst>
            <a:ext uri="{FF2B5EF4-FFF2-40B4-BE49-F238E27FC236}">
              <a16:creationId xmlns:a16="http://schemas.microsoft.com/office/drawing/2014/main" id="{7DE00B99-EE92-B949-8C4A-D7CE9730C970}"/>
            </a:ext>
          </a:extLst>
        </xdr:cNvPr>
        <xdr:cNvSpPr/>
      </xdr:nvSpPr>
      <xdr:spPr>
        <a:xfrm>
          <a:off x="6406605" y="1494011"/>
          <a:ext cx="1703330" cy="694062"/>
        </a:xfrm>
        <a:prstGeom prst="roundRect">
          <a:avLst/>
        </a:prstGeom>
        <a:solidFill>
          <a:schemeClr val="bg1"/>
        </a:solidFill>
        <a:ln w="5715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41D17C-9103-684F-9431-7906913CB700}"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 $64.00 </a:t>
          </a:fld>
          <a:endParaRPr lang="en-US" sz="2000" b="0" i="0" u="none" strike="noStrike" cap="none" spc="0">
            <a:ln w="0"/>
            <a:solidFill>
              <a:schemeClr val="tx1"/>
            </a:solidFill>
            <a:effectLst>
              <a:outerShdw blurRad="38100" dist="19050" dir="2700000" algn="tl" rotWithShape="0">
                <a:schemeClr val="dk1">
                  <a:alpha val="40000"/>
                </a:schemeClr>
              </a:outerShdw>
            </a:effectLst>
            <a:latin typeface="Aptos Narrow"/>
          </a:endParaRPr>
        </a:p>
      </xdr:txBody>
    </xdr:sp>
    <xdr:clientData/>
  </xdr:twoCellAnchor>
  <xdr:oneCellAnchor>
    <xdr:from>
      <xdr:col>12</xdr:col>
      <xdr:colOff>771067</xdr:colOff>
      <xdr:row>5</xdr:row>
      <xdr:rowOff>29732</xdr:rowOff>
    </xdr:from>
    <xdr:ext cx="1930400" cy="406402"/>
    <xdr:sp macro="" textlink="">
      <xdr:nvSpPr>
        <xdr:cNvPr id="6" name="Rounded Rectangle 5">
          <a:extLst>
            <a:ext uri="{FF2B5EF4-FFF2-40B4-BE49-F238E27FC236}">
              <a16:creationId xmlns:a16="http://schemas.microsoft.com/office/drawing/2014/main" id="{3930DBE1-7A0C-D745-B52D-55CC2089E130}"/>
            </a:ext>
          </a:extLst>
        </xdr:cNvPr>
        <xdr:cNvSpPr/>
      </xdr:nvSpPr>
      <xdr:spPr>
        <a:xfrm>
          <a:off x="10686248" y="1024310"/>
          <a:ext cx="1930400" cy="4064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US" sz="1100"/>
            <a:t>Monthly RVUs</a:t>
          </a:r>
        </a:p>
      </xdr:txBody>
    </xdr:sp>
    <xdr:clientData/>
  </xdr:oneCellAnchor>
  <xdr:twoCellAnchor>
    <xdr:from>
      <xdr:col>10</xdr:col>
      <xdr:colOff>685528</xdr:colOff>
      <xdr:row>12</xdr:row>
      <xdr:rowOff>122448</xdr:rowOff>
    </xdr:from>
    <xdr:to>
      <xdr:col>14</xdr:col>
      <xdr:colOff>703037</xdr:colOff>
      <xdr:row>26</xdr:row>
      <xdr:rowOff>102053</xdr:rowOff>
    </xdr:to>
    <xdr:graphicFrame macro="">
      <xdr:nvGraphicFramePr>
        <xdr:cNvPr id="23" name="Chart 22">
          <a:extLst>
            <a:ext uri="{FF2B5EF4-FFF2-40B4-BE49-F238E27FC236}">
              <a16:creationId xmlns:a16="http://schemas.microsoft.com/office/drawing/2014/main" id="{EC39F7FD-1A5C-ED4D-BA03-8331E5961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361935</xdr:colOff>
      <xdr:row>27</xdr:row>
      <xdr:rowOff>37968</xdr:rowOff>
    </xdr:from>
    <xdr:to>
      <xdr:col>14</xdr:col>
      <xdr:colOff>759732</xdr:colOff>
      <xdr:row>42</xdr:row>
      <xdr:rowOff>65963</xdr:rowOff>
    </xdr:to>
    <xdr:graphicFrame macro="">
      <xdr:nvGraphicFramePr>
        <xdr:cNvPr id="24" name="Compensation per visit">
          <a:extLst>
            <a:ext uri="{FF2B5EF4-FFF2-40B4-BE49-F238E27FC236}">
              <a16:creationId xmlns:a16="http://schemas.microsoft.com/office/drawing/2014/main" id="{74EB4375-48B8-2743-8B39-669E4E000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244384</xdr:colOff>
      <xdr:row>5</xdr:row>
      <xdr:rowOff>25495</xdr:rowOff>
    </xdr:from>
    <xdr:ext cx="1930400" cy="406402"/>
    <xdr:sp macro="" textlink="">
      <xdr:nvSpPr>
        <xdr:cNvPr id="25" name="Rounded Rectangle 24">
          <a:extLst>
            <a:ext uri="{FF2B5EF4-FFF2-40B4-BE49-F238E27FC236}">
              <a16:creationId xmlns:a16="http://schemas.microsoft.com/office/drawing/2014/main" id="{3D64FCC9-1EDC-B14D-A710-7FBB2A61EC59}"/>
            </a:ext>
          </a:extLst>
        </xdr:cNvPr>
        <xdr:cNvSpPr/>
      </xdr:nvSpPr>
      <xdr:spPr>
        <a:xfrm>
          <a:off x="8507035" y="1020073"/>
          <a:ext cx="1930400" cy="4064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US" sz="1100"/>
            <a:t>Years</a:t>
          </a:r>
          <a:r>
            <a:rPr lang="en-US" sz="1100" baseline="0"/>
            <a:t> of Experience</a:t>
          </a:r>
          <a:endParaRPr lang="en-US" sz="1100"/>
        </a:p>
      </xdr:txBody>
    </xdr:sp>
    <xdr:clientData/>
  </xdr:oneCellAnchor>
  <xdr:twoCellAnchor>
    <xdr:from>
      <xdr:col>10</xdr:col>
      <xdr:colOff>339293</xdr:colOff>
      <xdr:row>7</xdr:row>
      <xdr:rowOff>129237</xdr:rowOff>
    </xdr:from>
    <xdr:to>
      <xdr:col>12</xdr:col>
      <xdr:colOff>390093</xdr:colOff>
      <xdr:row>11</xdr:row>
      <xdr:rowOff>27637</xdr:rowOff>
    </xdr:to>
    <xdr:sp macro="" textlink="'Pivot Tables'!$B$96">
      <xdr:nvSpPr>
        <xdr:cNvPr id="26" name="Rounded Rectangle 25">
          <a:extLst>
            <a:ext uri="{FF2B5EF4-FFF2-40B4-BE49-F238E27FC236}">
              <a16:creationId xmlns:a16="http://schemas.microsoft.com/office/drawing/2014/main" id="{88EF0721-267C-EC45-AC60-1D72C00D8C35}"/>
            </a:ext>
          </a:extLst>
        </xdr:cNvPr>
        <xdr:cNvSpPr/>
      </xdr:nvSpPr>
      <xdr:spPr>
        <a:xfrm>
          <a:off x="8601944" y="1521647"/>
          <a:ext cx="1703330" cy="694062"/>
        </a:xfrm>
        <a:prstGeom prst="roundRect">
          <a:avLst/>
        </a:prstGeom>
        <a:solidFill>
          <a:schemeClr val="bg1"/>
        </a:solidFill>
        <a:ln w="5715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8D03FE-2480-6344-9DA9-82B26BF4DF79}" type="TxLink">
            <a:rPr lang="en-US" sz="28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9.4</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Aptos Narrow"/>
          </a:endParaRPr>
        </a:p>
      </xdr:txBody>
    </xdr:sp>
    <xdr:clientData/>
  </xdr:twoCellAnchor>
  <xdr:twoCellAnchor>
    <xdr:from>
      <xdr:col>13</xdr:col>
      <xdr:colOff>44673</xdr:colOff>
      <xdr:row>7</xdr:row>
      <xdr:rowOff>123642</xdr:rowOff>
    </xdr:from>
    <xdr:to>
      <xdr:col>15</xdr:col>
      <xdr:colOff>95473</xdr:colOff>
      <xdr:row>11</xdr:row>
      <xdr:rowOff>15489</xdr:rowOff>
    </xdr:to>
    <xdr:sp macro="" textlink="'Pivot Tables'!$G$84">
      <xdr:nvSpPr>
        <xdr:cNvPr id="27" name="Rounded Rectangle 26">
          <a:extLst>
            <a:ext uri="{FF2B5EF4-FFF2-40B4-BE49-F238E27FC236}">
              <a16:creationId xmlns:a16="http://schemas.microsoft.com/office/drawing/2014/main" id="{BE202EB8-528F-EC44-BA06-DE68B5712534}"/>
            </a:ext>
          </a:extLst>
        </xdr:cNvPr>
        <xdr:cNvSpPr/>
      </xdr:nvSpPr>
      <xdr:spPr>
        <a:xfrm>
          <a:off x="10786119" y="1516052"/>
          <a:ext cx="1703330" cy="687509"/>
        </a:xfrm>
        <a:prstGeom prst="roundRect">
          <a:avLst/>
        </a:prstGeom>
        <a:solidFill>
          <a:schemeClr val="bg1"/>
        </a:solidFill>
        <a:ln w="5715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BF4E4B-BD75-904A-94DC-858D7942F20F}" type="TxLink">
            <a:rPr lang="en-US" sz="28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699</a:t>
          </a:fld>
          <a:endParaRPr lang="en-US" sz="2800" b="0" i="0" u="none" strike="noStrike" cap="none" spc="0">
            <a:ln w="0"/>
            <a:solidFill>
              <a:srgbClr val="000000"/>
            </a:solidFill>
            <a:effectLst>
              <a:outerShdw blurRad="38100" dist="19050" dir="2700000" algn="tl" rotWithShape="0">
                <a:schemeClr val="dk1">
                  <a:alpha val="40000"/>
                </a:schemeClr>
              </a:outerShdw>
            </a:effectLst>
            <a:latin typeface="Aptos Narrow"/>
          </a:endParaRPr>
        </a:p>
      </xdr:txBody>
    </xdr:sp>
    <xdr:clientData/>
  </xdr:twoCellAnchor>
  <xdr:oneCellAnchor>
    <xdr:from>
      <xdr:col>15</xdr:col>
      <xdr:colOff>458556</xdr:colOff>
      <xdr:row>5</xdr:row>
      <xdr:rowOff>23382</xdr:rowOff>
    </xdr:from>
    <xdr:ext cx="1930400" cy="406402"/>
    <xdr:sp macro="" textlink="">
      <xdr:nvSpPr>
        <xdr:cNvPr id="29" name="Rounded Rectangle 28">
          <a:extLst>
            <a:ext uri="{FF2B5EF4-FFF2-40B4-BE49-F238E27FC236}">
              <a16:creationId xmlns:a16="http://schemas.microsoft.com/office/drawing/2014/main" id="{7C9E719F-4E63-BD41-A519-3739C24DAC91}"/>
            </a:ext>
          </a:extLst>
        </xdr:cNvPr>
        <xdr:cNvSpPr/>
      </xdr:nvSpPr>
      <xdr:spPr>
        <a:xfrm>
          <a:off x="12852532" y="1017960"/>
          <a:ext cx="1930400" cy="4064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US" sz="1100"/>
            <a:t>Comp per RVU</a:t>
          </a:r>
        </a:p>
      </xdr:txBody>
    </xdr:sp>
    <xdr:clientData/>
  </xdr:oneCellAnchor>
  <xdr:twoCellAnchor>
    <xdr:from>
      <xdr:col>15</xdr:col>
      <xdr:colOff>559930</xdr:colOff>
      <xdr:row>7</xdr:row>
      <xdr:rowOff>117292</xdr:rowOff>
    </xdr:from>
    <xdr:to>
      <xdr:col>17</xdr:col>
      <xdr:colOff>610730</xdr:colOff>
      <xdr:row>11</xdr:row>
      <xdr:rowOff>9139</xdr:rowOff>
    </xdr:to>
    <xdr:sp macro="" textlink="'Pivot Tables'!$G$88">
      <xdr:nvSpPr>
        <xdr:cNvPr id="30" name="Rounded Rectangle 29">
          <a:extLst>
            <a:ext uri="{FF2B5EF4-FFF2-40B4-BE49-F238E27FC236}">
              <a16:creationId xmlns:a16="http://schemas.microsoft.com/office/drawing/2014/main" id="{116E8B7B-0627-574F-B899-1A0DC9EDBCB4}"/>
            </a:ext>
          </a:extLst>
        </xdr:cNvPr>
        <xdr:cNvSpPr/>
      </xdr:nvSpPr>
      <xdr:spPr>
        <a:xfrm>
          <a:off x="12953906" y="1509702"/>
          <a:ext cx="1703330" cy="687509"/>
        </a:xfrm>
        <a:prstGeom prst="roundRect">
          <a:avLst/>
        </a:prstGeom>
        <a:solidFill>
          <a:schemeClr val="bg1"/>
        </a:solidFill>
        <a:ln w="5715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AB80A0-5E08-A64F-87DA-7949F3422A34}" type="TxLink">
            <a:rPr lang="en-US" sz="28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 $25.84 </a:t>
          </a:fld>
          <a:endParaRPr lang="en-US" sz="5400" b="0" i="0" u="none" strike="noStrike" cap="none" spc="0">
            <a:ln w="0"/>
            <a:solidFill>
              <a:srgbClr val="000000"/>
            </a:solidFill>
            <a:effectLst>
              <a:outerShdw blurRad="38100" dist="19050" dir="2700000" algn="tl" rotWithShape="0">
                <a:schemeClr val="dk1">
                  <a:alpha val="40000"/>
                </a:schemeClr>
              </a:outerShdw>
            </a:effectLst>
            <a:latin typeface="Aptos Narrow"/>
          </a:endParaRPr>
        </a:p>
      </xdr:txBody>
    </xdr:sp>
    <xdr:clientData/>
  </xdr:twoCellAnchor>
  <xdr:twoCellAnchor>
    <xdr:from>
      <xdr:col>15</xdr:col>
      <xdr:colOff>109977</xdr:colOff>
      <xdr:row>12</xdr:row>
      <xdr:rowOff>163258</xdr:rowOff>
    </xdr:from>
    <xdr:to>
      <xdr:col>19</xdr:col>
      <xdr:colOff>601242</xdr:colOff>
      <xdr:row>42</xdr:row>
      <xdr:rowOff>153012</xdr:rowOff>
    </xdr:to>
    <xdr:graphicFrame macro="">
      <xdr:nvGraphicFramePr>
        <xdr:cNvPr id="31" name="Chart 30">
          <a:extLst>
            <a:ext uri="{FF2B5EF4-FFF2-40B4-BE49-F238E27FC236}">
              <a16:creationId xmlns:a16="http://schemas.microsoft.com/office/drawing/2014/main" id="{A6BCFDEB-0B23-A24E-970E-EECA9CA9B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165100</xdr:colOff>
      <xdr:row>69</xdr:row>
      <xdr:rowOff>12700</xdr:rowOff>
    </xdr:to>
    <xdr:sp macro="" textlink="">
      <xdr:nvSpPr>
        <xdr:cNvPr id="2" name="TextBox 1">
          <a:extLst>
            <a:ext uri="{FF2B5EF4-FFF2-40B4-BE49-F238E27FC236}">
              <a16:creationId xmlns:a16="http://schemas.microsoft.com/office/drawing/2014/main" id="{984844FD-AEBA-7653-291B-624B906C8B43}"/>
            </a:ext>
          </a:extLst>
        </xdr:cNvPr>
        <xdr:cNvSpPr txBox="1"/>
      </xdr:nvSpPr>
      <xdr:spPr>
        <a:xfrm>
          <a:off x="0" y="0"/>
          <a:ext cx="18326100" cy="1403350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Questions: </a:t>
          </a:r>
        </a:p>
        <a:p>
          <a:r>
            <a:rPr lang="en-US" sz="2400" b="0">
              <a:solidFill>
                <a:schemeClr val="bg1"/>
              </a:solidFill>
            </a:rPr>
            <a:t>Q. Are</a:t>
          </a:r>
          <a:r>
            <a:rPr lang="en-US" sz="2400" b="0" baseline="0">
              <a:solidFill>
                <a:schemeClr val="bg1"/>
              </a:solidFill>
            </a:rPr>
            <a:t> providers fairly paid relative to their productivity?</a:t>
          </a:r>
        </a:p>
        <a:p>
          <a:r>
            <a:rPr lang="en-US" sz="2400" b="0" baseline="0">
              <a:solidFill>
                <a:schemeClr val="bg1"/>
              </a:solidFill>
            </a:rPr>
            <a:t>A. Most providers are fairly paid relative to their productivity. Miller, Smith, Wilson, Garcia, and Johnson are getting paid lower than they should as compared to other providers. They are below the trend line. These providers' salaries should be re-evaluated for fair pay. </a:t>
          </a:r>
        </a:p>
        <a:p>
          <a:endParaRPr lang="en-US" sz="2400" b="0" baseline="0">
            <a:solidFill>
              <a:schemeClr val="bg1"/>
            </a:solidFill>
          </a:endParaRPr>
        </a:p>
        <a:p>
          <a:r>
            <a:rPr lang="en-US" sz="2400" b="0" baseline="0">
              <a:solidFill>
                <a:schemeClr val="bg1"/>
              </a:solidFill>
            </a:rPr>
            <a:t>Q. How do RVUs, compensation, and compensation per RVUs compare across specialties? </a:t>
          </a:r>
        </a:p>
        <a:p>
          <a:r>
            <a:rPr lang="en-US" sz="2400" b="0" baseline="0">
              <a:solidFill>
                <a:schemeClr val="bg1"/>
              </a:solidFill>
            </a:rPr>
            <a:t>A. Neurology holds the largest percentage of the total compensation, while Cardiology holds the lowest. However this is most likely because Cardiology has less providers. Neurology has the highest monthly RVUs and compensation per RVUs. Gastroenterology has the lowest monthly RVUs and compensation per visit despite having more providers than Cardiology. </a:t>
          </a:r>
        </a:p>
        <a:p>
          <a:endParaRPr lang="en-US" sz="2400" b="0" baseline="0">
            <a:solidFill>
              <a:schemeClr val="bg1"/>
            </a:solidFill>
          </a:endParaRPr>
        </a:p>
        <a:p>
          <a:r>
            <a:rPr lang="en-US" sz="2400" b="0" baseline="0">
              <a:solidFill>
                <a:schemeClr val="bg1"/>
              </a:solidFill>
            </a:rPr>
            <a:t>Q. Who is at the top 10% and bottom 10% of compensation per RVU? </a:t>
          </a:r>
        </a:p>
        <a:p>
          <a:r>
            <a:rPr lang="en-US" sz="2400" b="0" baseline="0">
              <a:solidFill>
                <a:schemeClr val="bg1"/>
              </a:solidFill>
            </a:rPr>
            <a:t>A. The top provider for comp per RVU is Davis in Cardiology. This aligns with productivity levels. </a:t>
          </a:r>
        </a:p>
        <a:p>
          <a:r>
            <a:rPr lang="en-US" sz="2400" b="0" baseline="0">
              <a:solidFill>
                <a:schemeClr val="bg1"/>
              </a:solidFill>
            </a:rPr>
            <a:t>The bottom provider for comp per RVU is Smith in Orthopedics. This does not align with productivity levels. He is below the trend line for compensation per RVU. This may be something to consider when considering raises. </a:t>
          </a:r>
        </a:p>
        <a:p>
          <a:endParaRPr lang="en-US" sz="2400" b="0" baseline="0">
            <a:solidFill>
              <a:schemeClr val="bg1"/>
            </a:solidFill>
          </a:endParaRPr>
        </a:p>
        <a:p>
          <a:r>
            <a:rPr lang="en-US" sz="2400" b="0" baseline="0">
              <a:solidFill>
                <a:schemeClr val="bg1"/>
              </a:solidFill>
            </a:rPr>
            <a:t>Q. Are there any inconsistencies in the pay structure? </a:t>
          </a:r>
        </a:p>
        <a:p>
          <a:r>
            <a:rPr lang="en-US" sz="2400" b="0" baseline="0">
              <a:solidFill>
                <a:schemeClr val="bg1"/>
              </a:solidFill>
            </a:rPr>
            <a:t>A. All Comp per RVU Z-scores are within 1.5 standard deviations which would be considered within normal market range. However, if open to have a standard comp per RVU for each speciality, see below. </a:t>
          </a:r>
        </a:p>
        <a:p>
          <a:endParaRPr lang="en-US" sz="2400" b="0" baseline="0">
            <a:solidFill>
              <a:schemeClr val="bg1"/>
            </a:solidFill>
          </a:endParaRPr>
        </a:p>
        <a:p>
          <a:r>
            <a:rPr lang="en-US" sz="2400" b="0" baseline="0">
              <a:solidFill>
                <a:schemeClr val="bg1"/>
              </a:solidFill>
            </a:rPr>
            <a:t>Q. Target comp per RVU? </a:t>
          </a:r>
        </a:p>
        <a:p>
          <a:r>
            <a:rPr lang="en-US" sz="2400" b="0" baseline="0">
              <a:solidFill>
                <a:schemeClr val="bg1"/>
              </a:solidFill>
            </a:rPr>
            <a:t>A. The average comp per RVU is 25.84, however, some specialties pay differently than others. </a:t>
          </a:r>
        </a:p>
        <a:p>
          <a:r>
            <a:rPr lang="en-US" sz="2400" b="0" baseline="0">
              <a:solidFill>
                <a:schemeClr val="bg1"/>
              </a:solidFill>
            </a:rPr>
            <a:t>- Cardiology average comp per RVU is $24</a:t>
          </a:r>
        </a:p>
        <a:p>
          <a:r>
            <a:rPr lang="en-US" sz="2400" b="0" baseline="0">
              <a:solidFill>
                <a:schemeClr val="bg1"/>
              </a:solidFill>
            </a:rPr>
            <a:t>- Endocrinology average comp per RVU $29</a:t>
          </a:r>
        </a:p>
        <a:p>
          <a:r>
            <a:rPr lang="en-US" sz="2400" b="0" baseline="0">
              <a:solidFill>
                <a:schemeClr val="bg1"/>
              </a:solidFill>
            </a:rPr>
            <a:t>- Gastroenterolgy average comp per RVU is $29</a:t>
          </a:r>
        </a:p>
        <a:p>
          <a:r>
            <a:rPr lang="en-US" sz="2400" b="0" baseline="0">
              <a:solidFill>
                <a:schemeClr val="bg1"/>
              </a:solidFill>
            </a:rPr>
            <a:t>- Neurology average comp per RVU is $24</a:t>
          </a:r>
        </a:p>
        <a:p>
          <a:r>
            <a:rPr lang="en-US" sz="2400" b="0" baseline="0">
              <a:solidFill>
                <a:schemeClr val="bg1"/>
              </a:solidFill>
            </a:rPr>
            <a:t>- Orthopedics average comp per RVU is $23</a:t>
          </a:r>
        </a:p>
        <a:p>
          <a:r>
            <a:rPr lang="en-US" sz="2400" b="0" baseline="0">
              <a:solidFill>
                <a:schemeClr val="bg1"/>
              </a:solidFill>
            </a:rPr>
            <a:t>The variance chart shows the variance of providers from the average comp RVU based on their specialty. Specialty level benchmarks were calculated using average compensation per RVU and applied using XLOOKUP to evaluate provider level variance. There is a large variance from target salary across the specialties with the largest variance being about $6,000 from the target. </a:t>
          </a:r>
        </a:p>
        <a:p>
          <a:endParaRPr lang="en-US" sz="2400" b="0" baseline="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38099</xdr:colOff>
      <xdr:row>0</xdr:row>
      <xdr:rowOff>50800</xdr:rowOff>
    </xdr:from>
    <xdr:to>
      <xdr:col>22</xdr:col>
      <xdr:colOff>54429</xdr:colOff>
      <xdr:row>73</xdr:row>
      <xdr:rowOff>145143</xdr:rowOff>
    </xdr:to>
    <xdr:sp macro="" textlink="">
      <xdr:nvSpPr>
        <xdr:cNvPr id="2" name="TextBox 1">
          <a:extLst>
            <a:ext uri="{FF2B5EF4-FFF2-40B4-BE49-F238E27FC236}">
              <a16:creationId xmlns:a16="http://schemas.microsoft.com/office/drawing/2014/main" id="{265A8A2A-E247-FC56-0237-8AFB11B5FFA8}"/>
            </a:ext>
          </a:extLst>
        </xdr:cNvPr>
        <xdr:cNvSpPr txBox="1"/>
      </xdr:nvSpPr>
      <xdr:spPr>
        <a:xfrm>
          <a:off x="38099" y="50800"/>
          <a:ext cx="18376901" cy="14663057"/>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Summary</a:t>
          </a:r>
          <a:r>
            <a:rPr lang="en-US" sz="2800">
              <a:solidFill>
                <a:schemeClr val="bg1"/>
              </a:solidFill>
            </a:rPr>
            <a:t>: </a:t>
          </a:r>
        </a:p>
        <a:p>
          <a:r>
            <a:rPr lang="en-US" sz="2800">
              <a:solidFill>
                <a:schemeClr val="bg1"/>
              </a:solidFill>
            </a:rPr>
            <a:t>This analysis evaluated provider</a:t>
          </a:r>
          <a:r>
            <a:rPr lang="en-US" sz="2800" baseline="0">
              <a:solidFill>
                <a:schemeClr val="bg1"/>
              </a:solidFill>
            </a:rPr>
            <a:t> compensation relative to productivity using RVUs as a standardized performance metric. Overall, most providers are compensated in alignment with their productivity, with compensation per RVU falling within reasonable range of variation. However, several providers, Miller, Smith, Wilson, Garcia, and Johnson, fall below expected compensation levels when compared to specialty specific benchmarks, indicating potential undercompensation. </a:t>
          </a:r>
        </a:p>
        <a:p>
          <a:endParaRPr lang="en-US" sz="2800" baseline="0">
            <a:solidFill>
              <a:schemeClr val="bg1"/>
            </a:solidFill>
          </a:endParaRPr>
        </a:p>
        <a:p>
          <a:r>
            <a:rPr lang="en-US" sz="2800" baseline="0">
              <a:solidFill>
                <a:schemeClr val="bg1"/>
              </a:solidFill>
            </a:rPr>
            <a:t>Compensation patterns vary across specialties, with Neurology demonstrating the highest overall productivity and compensation per RVU, while other specialties such as Gastroenterology show lower productivity and compensation efficiency. These differences highlight the importance of evaluating compensation within specialty specific contexts rather than applying a uniform benchmark. </a:t>
          </a:r>
        </a:p>
        <a:p>
          <a:endParaRPr lang="en-US" sz="2800" baseline="0">
            <a:solidFill>
              <a:schemeClr val="bg1"/>
            </a:solidFill>
          </a:endParaRPr>
        </a:p>
        <a:p>
          <a:r>
            <a:rPr lang="en-US" sz="2800" baseline="0">
              <a:solidFill>
                <a:schemeClr val="bg1"/>
              </a:solidFill>
            </a:rPr>
            <a:t>Outlier analysis identified Davis (Cardiology) as a top performer in compensation per RVU, consistent with high experience and productivity levels. In contrast, Smith appears undercompensated relative to both experience and output, suggesting a potential misalignment in pay structure. </a:t>
          </a:r>
        </a:p>
        <a:p>
          <a:endParaRPr lang="en-US" sz="2800" baseline="0">
            <a:solidFill>
              <a:schemeClr val="bg1"/>
            </a:solidFill>
          </a:endParaRPr>
        </a:p>
        <a:p>
          <a:r>
            <a:rPr lang="en-US" sz="2800" baseline="0">
              <a:solidFill>
                <a:schemeClr val="bg1"/>
              </a:solidFill>
            </a:rPr>
            <a:t>While overall compensation variation falls within acceptable statistical limits, specialty level benchmarking revealed meaningful differences in target compensation rates. Variance analysis showed discrepancies of up to approximately $6,000 from expected compensation, indicating opportunities to improve consistency and transparency in compensation models. Lastly, Gonzalez and Davis rely the most on their bonus to raise their total compensation. </a:t>
          </a:r>
        </a:p>
        <a:p>
          <a:endParaRPr lang="en-US" sz="2800" baseline="0">
            <a:solidFill>
              <a:schemeClr val="bg1"/>
            </a:solidFill>
          </a:endParaRPr>
        </a:p>
        <a:p>
          <a:r>
            <a:rPr lang="en-US" sz="2800" b="1" baseline="0">
              <a:solidFill>
                <a:schemeClr val="bg1"/>
              </a:solidFill>
            </a:rPr>
            <a:t>Recommendations</a:t>
          </a:r>
          <a:r>
            <a:rPr lang="en-US" sz="2800" baseline="0">
              <a:solidFill>
                <a:schemeClr val="bg1"/>
              </a:solidFill>
            </a:rPr>
            <a:t>: </a:t>
          </a:r>
        </a:p>
        <a:p>
          <a:r>
            <a:rPr lang="en-US" sz="2800" baseline="0">
              <a:solidFill>
                <a:schemeClr val="bg1"/>
              </a:solidFill>
            </a:rPr>
            <a:t>- Re-evaluate compensation for identified underpaid providers relative to specialty benchmarks. </a:t>
          </a:r>
        </a:p>
        <a:p>
          <a:r>
            <a:rPr lang="en-US" sz="2800" baseline="0">
              <a:solidFill>
                <a:schemeClr val="bg1"/>
              </a:solidFill>
            </a:rPr>
            <a:t>- Consider implementing standardized compensation per RVU targets for each specialty. </a:t>
          </a:r>
        </a:p>
        <a:p>
          <a:r>
            <a:rPr lang="en-US" sz="2800" baseline="0">
              <a:solidFill>
                <a:schemeClr val="bg1"/>
              </a:solidFill>
            </a:rPr>
            <a:t>- Review compensation structures to ensure alignment between base salary, incentives, and productivity. </a:t>
          </a:r>
        </a:p>
        <a:p>
          <a:endParaRPr lang="en-US" sz="2800" baseline="0">
            <a:solidFill>
              <a:schemeClr val="bg1"/>
            </a:solidFill>
          </a:endParaRPr>
        </a:p>
        <a:p>
          <a:r>
            <a:rPr lang="en-US" sz="2800" b="1" baseline="0">
              <a:solidFill>
                <a:schemeClr val="bg1"/>
              </a:solidFill>
            </a:rPr>
            <a:t>Limitations:</a:t>
          </a:r>
        </a:p>
        <a:p>
          <a:r>
            <a:rPr lang="en-US" sz="2800" baseline="0">
              <a:solidFill>
                <a:schemeClr val="bg1"/>
              </a:solidFill>
            </a:rPr>
            <a:t>- Dataset is simulated.</a:t>
          </a:r>
        </a:p>
        <a:p>
          <a:r>
            <a:rPr lang="en-US" sz="2800" baseline="0">
              <a:solidFill>
                <a:schemeClr val="bg1"/>
              </a:solidFill>
            </a:rPr>
            <a:t>- Does not account for payer mix, tenure, or contract differences. </a:t>
          </a:r>
          <a:endParaRPr lang="en-US" sz="280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ley Shields" refreshedDate="46136.492789351854" createdVersion="8" refreshedVersion="8" minRefreshableVersion="3" recordCount="15" xr:uid="{03D15233-4324-6641-A829-7EC6AB79DD61}">
  <cacheSource type="worksheet">
    <worksheetSource name="Clean_Table"/>
  </cacheSource>
  <cacheFields count="15">
    <cacheField name="Provider ID" numFmtId="0">
      <sharedItems/>
    </cacheField>
    <cacheField name="Provider Name" numFmtId="0">
      <sharedItems count="15">
        <s v="Smith"/>
        <s v="Johnson"/>
        <s v="Williams"/>
        <s v="Brown"/>
        <s v="Jones"/>
        <s v="Miller"/>
        <s v="Davis"/>
        <s v="Garcia"/>
        <s v="Martinez"/>
        <s v="Hernandez"/>
        <s v="Lopez"/>
        <s v="Gonzalez"/>
        <s v="Wilson"/>
        <s v="Anderson"/>
        <s v="Thomas"/>
      </sharedItems>
    </cacheField>
    <cacheField name="Specialty" numFmtId="0">
      <sharedItems count="5">
        <s v="Orthopedics"/>
        <s v="Endocrinology"/>
        <s v="Neurology"/>
        <s v="Gastroenterology"/>
        <s v="Cardiology"/>
      </sharedItems>
    </cacheField>
    <cacheField name="Years Experience" numFmtId="0">
      <sharedItems containsSemiMixedTypes="0" containsString="0" containsNumber="1" containsInteger="1" minValue="3" maxValue="18"/>
    </cacheField>
    <cacheField name="Monthly RVUs" numFmtId="0">
      <sharedItems containsSemiMixedTypes="0" containsString="0" containsNumber="1" containsInteger="1" minValue="420" maxValue="1020" count="15">
        <n v="820"/>
        <n v="540"/>
        <n v="910"/>
        <n v="480"/>
        <n v="760"/>
        <n v="500"/>
        <n v="1020"/>
        <n v="530"/>
        <n v="870"/>
        <n v="460"/>
        <n v="790"/>
        <n v="980"/>
        <n v="510"/>
        <n v="890"/>
        <n v="420"/>
      </sharedItems>
    </cacheField>
    <cacheField name="Monthly Visits" numFmtId="0">
      <sharedItems containsSemiMixedTypes="0" containsString="0" containsNumber="1" containsInteger="1" minValue="230" maxValue="530"/>
    </cacheField>
    <cacheField name="Base Salary" numFmtId="164">
      <sharedItems containsSemiMixedTypes="0" containsString="0" containsNumber="1" containsInteger="1" minValue="150000" maxValue="280000"/>
    </cacheField>
    <cacheField name="Bonus" numFmtId="164">
      <sharedItems containsSemiMixedTypes="0" containsString="0" containsNumber="1" containsInteger="1" minValue="800" maxValue="8000"/>
    </cacheField>
    <cacheField name="Total Compensation" numFmtId="164">
      <sharedItems containsSemiMixedTypes="0" containsString="0" containsNumber="1" containsInteger="1" minValue="150800" maxValue="288000"/>
    </cacheField>
    <cacheField name="Comp per RVU" numFmtId="164">
      <sharedItems containsSemiMixedTypes="0" containsString="0" containsNumber="1" minValue="22.815040650406502" maxValue="29.920634920634921"/>
    </cacheField>
    <cacheField name="Comp per Visit" numFmtId="164">
      <sharedItems containsSemiMixedTypes="0" containsString="0" containsNumber="1" minValue="27.79874213836478" maxValue="100.54347826086956"/>
    </cacheField>
    <cacheField name="Z-scores of comp per RVU" numFmtId="2">
      <sharedItems containsSemiMixedTypes="0" containsString="0" containsNumber="1" minValue="-1.0706625470007327" maxValue="1.4425809814845867"/>
    </cacheField>
    <cacheField name="Target Comp per RVU" numFmtId="164">
      <sharedItems containsSemiMixedTypes="0" containsString="0" containsNumber="1" minValue="23.108798064163185" maxValue="28.718430335097"/>
    </cacheField>
    <cacheField name="Expected Comp" numFmtId="164">
      <sharedItems containsSemiMixedTypes="0" containsString="0" containsNumber="1" minValue="144740.88888888888" maxValue="288413.26530612243"/>
    </cacheField>
    <cacheField name="Variance" numFmtId="164">
      <sharedItems containsSemiMixedTypes="0" containsString="0" containsNumber="1" minValue="-6110.5820105820021" maxValue="6497.0033296337642"/>
    </cacheField>
  </cacheFields>
  <extLst>
    <ext xmlns:x14="http://schemas.microsoft.com/office/spreadsheetml/2009/9/main" uri="{725AE2AE-9491-48be-B2B4-4EB974FC3084}">
      <x14:pivotCacheDefinition pivotCacheId="531102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P001"/>
    <x v="0"/>
    <x v="0"/>
    <n v="12"/>
    <x v="0"/>
    <n v="310"/>
    <n v="220000"/>
    <n v="4500"/>
    <n v="224500"/>
    <n v="22.815040650406502"/>
    <n v="60.349462365591393"/>
    <n v="-1.0706625470007327"/>
    <n v="23.108798064163185"/>
    <n v="227390.57295136573"/>
    <n v="-2890.5729513657279"/>
  </r>
  <r>
    <s v="P002"/>
    <x v="1"/>
    <x v="1"/>
    <n v="8"/>
    <x v="1"/>
    <n v="280"/>
    <n v="180000"/>
    <n v="2000"/>
    <n v="182000"/>
    <n v="28.086419753086417"/>
    <n v="54.166666666666664"/>
    <n v="0.79382040997186754"/>
    <n v="28.718430335097"/>
    <n v="186095.42857142855"/>
    <n v="-4095.4285714285506"/>
  </r>
  <r>
    <s v="P003"/>
    <x v="2"/>
    <x v="2"/>
    <n v="15"/>
    <x v="2"/>
    <n v="260"/>
    <n v="250000"/>
    <n v="6000"/>
    <n v="256000"/>
    <n v="23.443223443223442"/>
    <n v="82.051282051282044"/>
    <n v="-0.84847474979313109"/>
    <n v="23.455237524396765"/>
    <n v="256131.19376641267"/>
    <n v="-131.19376641267445"/>
  </r>
  <r>
    <s v="P004"/>
    <x v="3"/>
    <x v="3"/>
    <n v="6"/>
    <x v="3"/>
    <n v="300"/>
    <n v="170000"/>
    <n v="1500"/>
    <n v="171500"/>
    <n v="29.774305555555554"/>
    <n v="47.638888888888886"/>
    <n v="1.3908243914194938"/>
    <n v="28.646353588605251"/>
    <n v="165002.99667036624"/>
    <n v="6497.0033296337642"/>
  </r>
  <r>
    <s v="P005"/>
    <x v="4"/>
    <x v="0"/>
    <n v="10"/>
    <x v="4"/>
    <n v="295"/>
    <n v="210000"/>
    <n v="3500"/>
    <n v="213500"/>
    <n v="23.410087719298247"/>
    <n v="60.310734463276837"/>
    <n v="-0.86019483125987029"/>
    <n v="23.108798064163185"/>
    <n v="210752.23834516824"/>
    <n v="2747.7616548317601"/>
  </r>
  <r>
    <s v="P006"/>
    <x v="5"/>
    <x v="1"/>
    <n v="5"/>
    <x v="5"/>
    <n v="270"/>
    <n v="165000"/>
    <n v="1200"/>
    <n v="166200"/>
    <n v="27.7"/>
    <n v="51.296296296296298"/>
    <n v="0.6571440241849098"/>
    <n v="28.718430335097"/>
    <n v="172310.582010582"/>
    <n v="-6110.5820105820021"/>
  </r>
  <r>
    <s v="P007"/>
    <x v="6"/>
    <x v="4"/>
    <n v="18"/>
    <x v="6"/>
    <n v="240"/>
    <n v="280000"/>
    <n v="8000"/>
    <n v="288000"/>
    <n v="23.529411764705884"/>
    <n v="100"/>
    <n v="-0.81799000313311709"/>
    <n v="23.563175270108044"/>
    <n v="288413.26530612243"/>
    <n v="-413.26530612242641"/>
  </r>
  <r>
    <s v="P008"/>
    <x v="7"/>
    <x v="3"/>
    <n v="7"/>
    <x v="7"/>
    <n v="530"/>
    <n v="175000"/>
    <n v="1800"/>
    <n v="176800"/>
    <n v="27.79874213836478"/>
    <n v="27.79874213836478"/>
    <n v="0.69206904675112357"/>
    <n v="28.646353588605251"/>
    <n v="182190.8088235294"/>
    <n v="-5390.8088235293981"/>
  </r>
  <r>
    <s v="P009"/>
    <x v="8"/>
    <x v="2"/>
    <n v="11"/>
    <x v="8"/>
    <n v="255"/>
    <n v="240000"/>
    <n v="5000"/>
    <n v="245000"/>
    <n v="23.467432950191572"/>
    <n v="80.06535947712419"/>
    <n v="-0.83991186477584201"/>
    <n v="23.455237524396765"/>
    <n v="244872.6797547022"/>
    <n v="127.32024529780028"/>
  </r>
  <r>
    <s v="P010"/>
    <x v="9"/>
    <x v="1"/>
    <n v="4"/>
    <x v="9"/>
    <n v="260"/>
    <n v="160000"/>
    <n v="1000"/>
    <n v="161000"/>
    <n v="29.166666666666664"/>
    <n v="51.602564102564102"/>
    <n v="1.1759029580983482"/>
    <n v="28.718430335097"/>
    <n v="158525.73544973545"/>
    <n v="2474.2645502645464"/>
  </r>
  <r>
    <s v="P011"/>
    <x v="10"/>
    <x v="0"/>
    <n v="9"/>
    <x v="10"/>
    <n v="300"/>
    <n v="215000"/>
    <n v="4000"/>
    <n v="219000"/>
    <n v="23.101265822784811"/>
    <n v="60.833333333333336"/>
    <n v="-0.96942491158107691"/>
    <n v="23.108798064163185"/>
    <n v="219071.40564826701"/>
    <n v="-71.405648267013021"/>
  </r>
  <r>
    <s v="P012"/>
    <x v="11"/>
    <x v="4"/>
    <n v="14"/>
    <x v="11"/>
    <n v="230"/>
    <n v="270000"/>
    <n v="7500"/>
    <n v="277500"/>
    <n v="23.596938775510203"/>
    <n v="100.54347826086956"/>
    <n v="-0.79410574849547388"/>
    <n v="23.563175270108044"/>
    <n v="277102.9411764706"/>
    <n v="397.05882352939807"/>
  </r>
  <r>
    <s v="P013"/>
    <x v="12"/>
    <x v="3"/>
    <n v="6"/>
    <x v="12"/>
    <n v="305"/>
    <n v="172000"/>
    <n v="1600"/>
    <n v="173600"/>
    <n v="28.366013071895424"/>
    <n v="47.431693989071036"/>
    <n v="0.89271236360460404"/>
    <n v="28.646353588605251"/>
    <n v="175315.68396226416"/>
    <n v="-1715.6839622641564"/>
  </r>
  <r>
    <s v="P014"/>
    <x v="13"/>
    <x v="2"/>
    <n v="13"/>
    <x v="13"/>
    <n v="250"/>
    <n v="245000"/>
    <n v="5500"/>
    <n v="250500"/>
    <n v="23.45505617977528"/>
    <n v="83.5"/>
    <n v="-0.84428951947569231"/>
    <n v="23.455237524396765"/>
    <n v="250501.93676055744"/>
    <n v="-1.9367605574370828"/>
  </r>
  <r>
    <s v="P015"/>
    <x v="14"/>
    <x v="1"/>
    <n v="3"/>
    <x v="14"/>
    <n v="240"/>
    <n v="150000"/>
    <n v="800"/>
    <n v="150800"/>
    <n v="29.920634920634921"/>
    <n v="52.361111111111107"/>
    <n v="1.4425809814845867"/>
    <n v="28.718430335097"/>
    <n v="144740.88888888888"/>
    <n v="6059.1111111111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E707E0-E4A5-3A41-BF4B-138A42F22A33}" name="PivotTable16"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4:B85" firstHeaderRow="1" firstDataRow="1" firstDataCol="0"/>
  <pivotFields count="15">
    <pivotField showAll="0"/>
    <pivotField dataField="1" showAll="0"/>
    <pivotField showAll="0"/>
    <pivotField showAll="0"/>
    <pivotField showAll="0"/>
    <pivotField showAll="0"/>
    <pivotField numFmtId="44" showAll="0"/>
    <pivotField numFmtId="44" showAll="0"/>
    <pivotField numFmtId="44" showAll="0"/>
    <pivotField numFmtId="44" showAll="0"/>
    <pivotField numFmtId="44" showAll="0"/>
    <pivotField numFmtId="2" showAll="0"/>
    <pivotField numFmtId="164" showAll="0"/>
    <pivotField numFmtId="164" showAll="0"/>
    <pivotField numFmtId="164" showAll="0"/>
  </pivotFields>
  <rowItems count="1">
    <i/>
  </rowItems>
  <colItems count="1">
    <i/>
  </colItems>
  <dataFields count="1">
    <dataField name="Count of Provider Name" fld="1"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B80778-F6EA-9E4B-B319-9337AF751D44}" name="PivotTable5"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vider Name">
  <location ref="D84:E100" firstHeaderRow="1" firstDataRow="1" firstDataCol="1"/>
  <pivotFields count="15">
    <pivotField showAll="0"/>
    <pivotField axis="axisRow" showAll="0" sortType="ascending">
      <items count="16">
        <item x="13"/>
        <item x="3"/>
        <item x="6"/>
        <item x="7"/>
        <item x="11"/>
        <item x="9"/>
        <item x="1"/>
        <item x="4"/>
        <item x="10"/>
        <item x="8"/>
        <item x="5"/>
        <item x="0"/>
        <item x="14"/>
        <item x="2"/>
        <item x="12"/>
        <item t="default"/>
      </items>
      <autoSortScope>
        <pivotArea dataOnly="0" outline="0" fieldPosition="0">
          <references count="1">
            <reference field="4294967294" count="1" selected="0">
              <x v="0"/>
            </reference>
          </references>
        </pivotArea>
      </autoSortScope>
    </pivotField>
    <pivotField showAll="0">
      <items count="6">
        <item x="4"/>
        <item x="1"/>
        <item x="3"/>
        <item x="2"/>
        <item x="0"/>
        <item t="default"/>
      </items>
    </pivotField>
    <pivotField showAll="0"/>
    <pivotField dataField="1" showAll="0"/>
    <pivotField showAll="0"/>
    <pivotField numFmtId="44" showAll="0"/>
    <pivotField numFmtId="44" showAll="0"/>
    <pivotField numFmtId="44" showAll="0"/>
    <pivotField numFmtId="44" showAll="0"/>
    <pivotField numFmtId="44" showAll="0"/>
    <pivotField numFmtId="2" showAll="0"/>
    <pivotField numFmtId="164" showAll="0"/>
    <pivotField numFmtId="164" showAll="0"/>
    <pivotField numFmtId="164" showAll="0"/>
  </pivotFields>
  <rowFields count="1">
    <field x="1"/>
  </rowFields>
  <rowItems count="16">
    <i>
      <x v="12"/>
    </i>
    <i>
      <x v="5"/>
    </i>
    <i>
      <x v="1"/>
    </i>
    <i>
      <x v="10"/>
    </i>
    <i>
      <x v="14"/>
    </i>
    <i>
      <x v="3"/>
    </i>
    <i>
      <x v="6"/>
    </i>
    <i>
      <x v="7"/>
    </i>
    <i>
      <x v="8"/>
    </i>
    <i>
      <x v="11"/>
    </i>
    <i>
      <x v="9"/>
    </i>
    <i>
      <x/>
    </i>
    <i>
      <x v="13"/>
    </i>
    <i>
      <x v="4"/>
    </i>
    <i>
      <x v="2"/>
    </i>
    <i t="grand">
      <x/>
    </i>
  </rowItems>
  <colItems count="1">
    <i/>
  </colItems>
  <dataFields count="1">
    <dataField name="Sum of Monthly RVUs" fld="4"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780F35-6DDA-4247-9671-79CCC277045D}" name="PivotTable10"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pecialty">
  <location ref="B51:C57" firstHeaderRow="1" firstDataRow="1" firstDataCol="1"/>
  <pivotFields count="15">
    <pivotField showAll="0"/>
    <pivotField showAll="0">
      <items count="16">
        <item x="13"/>
        <item x="3"/>
        <item x="6"/>
        <item x="7"/>
        <item x="11"/>
        <item x="9"/>
        <item x="1"/>
        <item x="4"/>
        <item x="10"/>
        <item x="8"/>
        <item x="5"/>
        <item x="0"/>
        <item x="14"/>
        <item x="2"/>
        <item x="12"/>
        <item t="default"/>
      </items>
    </pivotField>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4" showAll="0"/>
    <pivotField numFmtId="44" showAll="0"/>
    <pivotField dataField="1" numFmtId="44" showAll="0"/>
    <pivotField numFmtId="44" showAll="0"/>
    <pivotField numFmtId="44" showAll="0"/>
    <pivotField numFmtId="2" showAll="0"/>
    <pivotField numFmtId="164" showAll="0"/>
    <pivotField numFmtId="164" showAll="0"/>
    <pivotField numFmtId="164" showAll="0"/>
  </pivotFields>
  <rowFields count="1">
    <field x="2"/>
  </rowFields>
  <rowItems count="6">
    <i>
      <x/>
    </i>
    <i>
      <x v="3"/>
    </i>
    <i>
      <x v="4"/>
    </i>
    <i>
      <x v="2"/>
    </i>
    <i>
      <x v="1"/>
    </i>
    <i t="grand">
      <x/>
    </i>
  </rowItems>
  <colItems count="1">
    <i/>
  </colItems>
  <dataFields count="1">
    <dataField name="Average of Total Compensation" fld="8" subtotal="average" baseField="0" baseItem="0" numFmtId="164"/>
  </dataFields>
  <formats count="1">
    <format dxfId="0">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84080C-040B-5648-B3F7-7F6683FA4273}" name="PivotTable9"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pecialty">
  <location ref="B41:C47" firstHeaderRow="1" firstDataRow="1" firstDataCol="1"/>
  <pivotFields count="15">
    <pivotField showAll="0"/>
    <pivotField showAll="0"/>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4" showAll="0"/>
    <pivotField numFmtId="44" showAll="0"/>
    <pivotField numFmtId="44" showAll="0"/>
    <pivotField dataField="1" numFmtId="44" showAll="0"/>
    <pivotField numFmtId="44" showAll="0"/>
    <pivotField numFmtId="2" showAll="0"/>
    <pivotField numFmtId="164" showAll="0"/>
    <pivotField numFmtId="164" showAll="0"/>
    <pivotField numFmtId="164" showAll="0"/>
  </pivotFields>
  <rowFields count="1">
    <field x="2"/>
  </rowFields>
  <rowItems count="6">
    <i>
      <x v="1"/>
    </i>
    <i>
      <x v="2"/>
    </i>
    <i>
      <x/>
    </i>
    <i>
      <x v="3"/>
    </i>
    <i>
      <x v="4"/>
    </i>
    <i t="grand">
      <x/>
    </i>
  </rowItems>
  <colItems count="1">
    <i/>
  </colItems>
  <dataFields count="1">
    <dataField name="Average of Comp per RVU" fld="9" subtotal="average" baseField="0" baseItem="0" numFmtId="164"/>
  </dataFields>
  <formats count="1">
    <format dxfId="1">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A5A2C9-43BA-AF48-9044-74DAA30B43C3}" name="PivotTable2"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ly RVUs">
  <location ref="B9:C25" firstHeaderRow="1" firstDataRow="1" firstDataCol="1"/>
  <pivotFields count="15">
    <pivotField showAll="0"/>
    <pivotField showAll="0">
      <items count="16">
        <item x="13"/>
        <item x="3"/>
        <item x="6"/>
        <item x="7"/>
        <item x="11"/>
        <item x="9"/>
        <item x="1"/>
        <item x="4"/>
        <item x="10"/>
        <item x="8"/>
        <item x="5"/>
        <item x="0"/>
        <item x="14"/>
        <item x="2"/>
        <item x="12"/>
        <item t="default"/>
      </items>
    </pivotField>
    <pivotField showAll="0">
      <items count="6">
        <item x="4"/>
        <item x="1"/>
        <item x="3"/>
        <item x="2"/>
        <item x="0"/>
        <item t="default"/>
      </items>
    </pivotField>
    <pivotField showAll="0"/>
    <pivotField axis="axisRow" showAll="0" sortType="ascending">
      <items count="16">
        <item x="14"/>
        <item x="9"/>
        <item x="3"/>
        <item x="5"/>
        <item x="12"/>
        <item x="7"/>
        <item x="1"/>
        <item x="4"/>
        <item x="10"/>
        <item x="0"/>
        <item x="8"/>
        <item x="13"/>
        <item x="2"/>
        <item x="11"/>
        <item x="6"/>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44" showAll="0"/>
    <pivotField numFmtId="44" showAll="0"/>
    <pivotField numFmtId="2" showAll="0"/>
    <pivotField numFmtId="164" showAll="0"/>
    <pivotField numFmtId="164" showAll="0"/>
    <pivotField numFmtId="164" showAll="0"/>
  </pivotFields>
  <rowFields count="1">
    <field x="4"/>
  </rowFields>
  <rowItems count="16">
    <i>
      <x/>
    </i>
    <i>
      <x v="1"/>
    </i>
    <i>
      <x v="3"/>
    </i>
    <i>
      <x v="2"/>
    </i>
    <i>
      <x v="4"/>
    </i>
    <i>
      <x v="5"/>
    </i>
    <i>
      <x v="6"/>
    </i>
    <i>
      <x v="7"/>
    </i>
    <i>
      <x v="8"/>
    </i>
    <i>
      <x v="9"/>
    </i>
    <i>
      <x v="10"/>
    </i>
    <i>
      <x v="11"/>
    </i>
    <i>
      <x v="12"/>
    </i>
    <i>
      <x v="13"/>
    </i>
    <i>
      <x v="14"/>
    </i>
    <i t="grand">
      <x/>
    </i>
  </rowItems>
  <colItems count="1">
    <i/>
  </colItems>
  <dataFields count="1">
    <dataField name="Sum of Total Compensation" fld="8" baseField="0" baseItem="0" numFmtId="164"/>
  </dataFields>
  <formats count="2">
    <format dxfId="3">
      <pivotArea collapsedLevelsAreSubtotals="1" fieldPosition="0">
        <references count="1">
          <reference field="4" count="0"/>
        </references>
      </pivotArea>
    </format>
    <format dxfId="2">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0E68A8-F83D-2341-98B2-EB5909B45BBD}" name="PivotTable14"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5:B96" firstHeaderRow="1" firstDataRow="1" firstDataCol="0"/>
  <pivotFields count="15">
    <pivotField showAll="0"/>
    <pivotField showAll="0">
      <items count="16">
        <item x="13"/>
        <item x="3"/>
        <item x="6"/>
        <item x="7"/>
        <item x="11"/>
        <item x="9"/>
        <item x="1"/>
        <item x="4"/>
        <item x="10"/>
        <item x="8"/>
        <item x="5"/>
        <item x="0"/>
        <item x="14"/>
        <item x="2"/>
        <item x="12"/>
        <item t="default"/>
      </items>
    </pivotField>
    <pivotField showAll="0">
      <items count="6">
        <item x="4"/>
        <item x="1"/>
        <item x="3"/>
        <item x="2"/>
        <item x="0"/>
        <item t="default"/>
      </items>
    </pivotField>
    <pivotField dataField="1" showAll="0"/>
    <pivotField showAll="0"/>
    <pivotField showAll="0"/>
    <pivotField numFmtId="44" showAll="0"/>
    <pivotField numFmtId="44" showAll="0"/>
    <pivotField numFmtId="44" showAll="0"/>
    <pivotField numFmtId="44" showAll="0"/>
    <pivotField numFmtId="44" showAll="0"/>
    <pivotField numFmtId="2" showAll="0"/>
    <pivotField numFmtId="164" showAll="0"/>
    <pivotField numFmtId="164" showAll="0"/>
    <pivotField numFmtId="164" showAll="0"/>
  </pivotFields>
  <rowItems count="1">
    <i/>
  </rowItems>
  <colItems count="1">
    <i/>
  </colItems>
  <dataFields count="1">
    <dataField name="Average of Years Experience" fld="3" subtotal="average"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06CBA2-42F7-7142-859B-B755C450864B}" name="PivotTable25"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Monthly RVUs">
  <location ref="E9:F25" firstHeaderRow="1" firstDataRow="1" firstDataCol="1"/>
  <pivotFields count="15">
    <pivotField showAll="0"/>
    <pivotField axis="axisRow" showAll="0" sortType="ascending">
      <items count="16">
        <item x="13"/>
        <item x="3"/>
        <item x="6"/>
        <item x="7"/>
        <item x="11"/>
        <item x="9"/>
        <item x="1"/>
        <item x="4"/>
        <item x="10"/>
        <item x="8"/>
        <item x="5"/>
        <item x="0"/>
        <item x="14"/>
        <item x="2"/>
        <item x="12"/>
        <item t="default"/>
      </items>
      <autoSortScope>
        <pivotArea dataOnly="0" outline="0" fieldPosition="0">
          <references count="1">
            <reference field="4294967294" count="1" selected="0">
              <x v="0"/>
            </reference>
          </references>
        </pivotArea>
      </autoSortScope>
    </pivotField>
    <pivotField showAll="0">
      <items count="6">
        <item x="4"/>
        <item x="1"/>
        <item x="3"/>
        <item x="2"/>
        <item x="0"/>
        <item t="default"/>
      </items>
    </pivotField>
    <pivotField showAll="0"/>
    <pivotField showAll="0">
      <items count="16">
        <item x="14"/>
        <item x="9"/>
        <item x="3"/>
        <item x="5"/>
        <item x="12"/>
        <item x="7"/>
        <item x="1"/>
        <item x="4"/>
        <item x="10"/>
        <item x="0"/>
        <item x="8"/>
        <item x="13"/>
        <item x="2"/>
        <item x="11"/>
        <item x="6"/>
        <item t="default"/>
      </items>
    </pivotField>
    <pivotField showAll="0"/>
    <pivotField numFmtId="44" showAll="0"/>
    <pivotField numFmtId="44" showAll="0"/>
    <pivotField numFmtId="44" showAll="0"/>
    <pivotField numFmtId="44" showAll="0"/>
    <pivotField numFmtId="44" showAll="0"/>
    <pivotField numFmtId="2" showAll="0"/>
    <pivotField numFmtId="164" showAll="0"/>
    <pivotField numFmtId="164" showAll="0"/>
    <pivotField dataField="1" numFmtId="164" showAll="0"/>
  </pivotFields>
  <rowFields count="1">
    <field x="1"/>
  </rowFields>
  <rowItems count="16">
    <i>
      <x v="10"/>
    </i>
    <i>
      <x v="3"/>
    </i>
    <i>
      <x v="6"/>
    </i>
    <i>
      <x v="11"/>
    </i>
    <i>
      <x v="14"/>
    </i>
    <i>
      <x v="2"/>
    </i>
    <i>
      <x v="13"/>
    </i>
    <i>
      <x v="8"/>
    </i>
    <i>
      <x/>
    </i>
    <i>
      <x v="9"/>
    </i>
    <i>
      <x v="4"/>
    </i>
    <i>
      <x v="5"/>
    </i>
    <i>
      <x v="7"/>
    </i>
    <i>
      <x v="12"/>
    </i>
    <i>
      <x v="1"/>
    </i>
    <i t="grand">
      <x/>
    </i>
  </rowItems>
  <colItems count="1">
    <i/>
  </colItems>
  <dataFields count="1">
    <dataField name="Sum of Variance" fld="14" baseField="0" baseItem="0" numFmtId="164"/>
  </dataFields>
  <formats count="1">
    <format dxfId="4">
      <pivotArea outline="0" collapsedLevelsAreSubtotals="1" fieldPosition="0"/>
    </format>
  </formats>
  <chartFormats count="3">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2574BB-3D94-5942-850E-E729961ED714}" name="PivotTable1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vider Name">
  <location ref="B65:C81" firstHeaderRow="1" firstDataRow="1" firstDataCol="1"/>
  <pivotFields count="15">
    <pivotField showAll="0"/>
    <pivotField axis="axisRow" showAll="0" sortType="ascending">
      <items count="16">
        <item x="13"/>
        <item x="3"/>
        <item x="6"/>
        <item x="7"/>
        <item x="11"/>
        <item x="9"/>
        <item x="1"/>
        <item x="4"/>
        <item x="10"/>
        <item x="8"/>
        <item x="5"/>
        <item x="0"/>
        <item x="14"/>
        <item x="2"/>
        <item x="12"/>
        <item t="default"/>
      </items>
      <autoSortScope>
        <pivotArea dataOnly="0" outline="0" fieldPosition="0">
          <references count="1">
            <reference field="4294967294" count="1" selected="0">
              <x v="0"/>
            </reference>
          </references>
        </pivotArea>
      </autoSortScope>
    </pivotField>
    <pivotField showAll="0">
      <items count="6">
        <item x="4"/>
        <item x="1"/>
        <item x="3"/>
        <item x="2"/>
        <item x="0"/>
        <item t="default"/>
      </items>
    </pivotField>
    <pivotField showAll="0"/>
    <pivotField showAll="0"/>
    <pivotField showAll="0"/>
    <pivotField numFmtId="44" showAll="0"/>
    <pivotField numFmtId="44" showAll="0"/>
    <pivotField dataField="1" numFmtId="44" showAll="0"/>
    <pivotField numFmtId="44" showAll="0"/>
    <pivotField numFmtId="44" showAll="0"/>
    <pivotField numFmtId="2" showAll="0"/>
    <pivotField numFmtId="164" showAll="0"/>
    <pivotField numFmtId="164" showAll="0"/>
    <pivotField numFmtId="164" showAll="0"/>
  </pivotFields>
  <rowFields count="1">
    <field x="1"/>
  </rowFields>
  <rowItems count="16">
    <i>
      <x v="12"/>
    </i>
    <i>
      <x v="5"/>
    </i>
    <i>
      <x v="10"/>
    </i>
    <i>
      <x v="1"/>
    </i>
    <i>
      <x v="14"/>
    </i>
    <i>
      <x v="3"/>
    </i>
    <i>
      <x v="6"/>
    </i>
    <i>
      <x v="7"/>
    </i>
    <i>
      <x v="8"/>
    </i>
    <i>
      <x v="11"/>
    </i>
    <i>
      <x v="9"/>
    </i>
    <i>
      <x/>
    </i>
    <i>
      <x v="13"/>
    </i>
    <i>
      <x v="4"/>
    </i>
    <i>
      <x v="2"/>
    </i>
    <i t="grand">
      <x/>
    </i>
  </rowItems>
  <colItems count="1">
    <i/>
  </colItems>
  <dataFields count="1">
    <dataField name="Sum of Total Compensation" fld="8" baseField="0" baseItem="0" numFmtId="44"/>
  </dataFields>
  <formats count="2">
    <format dxfId="6">
      <pivotArea collapsedLevelsAreSubtotals="1" fieldPosition="0">
        <references count="1">
          <reference field="1" count="0"/>
        </references>
      </pivotArea>
    </format>
    <format dxfId="5">
      <pivotArea grandRow="1"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64B3D5-A43C-8C45-852C-790B39668FDF}" name="PivotTable2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7:G88" firstHeaderRow="1" firstDataRow="1" firstDataCol="0"/>
  <pivotFields count="15">
    <pivotField showAll="0"/>
    <pivotField showAll="0">
      <items count="16">
        <item x="13"/>
        <item x="3"/>
        <item x="6"/>
        <item x="7"/>
        <item x="11"/>
        <item x="9"/>
        <item x="1"/>
        <item x="4"/>
        <item x="10"/>
        <item x="8"/>
        <item x="5"/>
        <item x="0"/>
        <item x="14"/>
        <item x="2"/>
        <item x="12"/>
        <item t="default"/>
      </items>
    </pivotField>
    <pivotField showAll="0">
      <items count="6">
        <item x="4"/>
        <item x="1"/>
        <item x="3"/>
        <item x="2"/>
        <item x="0"/>
        <item t="default"/>
      </items>
    </pivotField>
    <pivotField showAll="0"/>
    <pivotField showAll="0"/>
    <pivotField showAll="0"/>
    <pivotField numFmtId="44" showAll="0"/>
    <pivotField numFmtId="44" showAll="0"/>
    <pivotField numFmtId="44" showAll="0"/>
    <pivotField dataField="1" numFmtId="44" showAll="0"/>
    <pivotField numFmtId="44" showAll="0"/>
    <pivotField numFmtId="2" showAll="0"/>
    <pivotField numFmtId="164" showAll="0"/>
    <pivotField numFmtId="164" showAll="0"/>
    <pivotField numFmtId="164" showAll="0"/>
  </pivotFields>
  <rowItems count="1">
    <i/>
  </rowItems>
  <colItems count="1">
    <i/>
  </colItems>
  <dataFields count="1">
    <dataField name="Average of Comp per RVU" fld="9" subtotal="average" baseField="0" baseItem="0" numFmtId="4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410584-2AB6-C64B-8814-559794970338}" name="PivotTable8"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pecialty &amp; Providers">
  <location ref="E32:F53" firstHeaderRow="1" firstDataRow="1" firstDataCol="1"/>
  <pivotFields count="15">
    <pivotField showAll="0"/>
    <pivotField axis="axisRow" showAll="0">
      <items count="16">
        <item x="13"/>
        <item x="3"/>
        <item x="6"/>
        <item x="7"/>
        <item x="11"/>
        <item x="9"/>
        <item x="1"/>
        <item x="4"/>
        <item x="10"/>
        <item x="8"/>
        <item x="5"/>
        <item x="0"/>
        <item x="14"/>
        <item x="2"/>
        <item x="12"/>
        <item t="default"/>
      </items>
    </pivotField>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4" showAll="0"/>
    <pivotField numFmtId="44" showAll="0"/>
    <pivotField numFmtId="44" showAll="0"/>
    <pivotField numFmtId="44" showAll="0"/>
    <pivotField dataField="1" numFmtId="44" showAll="0"/>
    <pivotField numFmtId="2" showAll="0"/>
    <pivotField numFmtId="164" showAll="0"/>
    <pivotField numFmtId="164" showAll="0"/>
    <pivotField numFmtId="164" showAll="0"/>
  </pivotFields>
  <rowFields count="2">
    <field x="2"/>
    <field x="1"/>
  </rowFields>
  <rowItems count="21">
    <i>
      <x/>
    </i>
    <i r="1">
      <x v="2"/>
    </i>
    <i r="1">
      <x v="4"/>
    </i>
    <i>
      <x v="3"/>
    </i>
    <i r="1">
      <x/>
    </i>
    <i r="1">
      <x v="9"/>
    </i>
    <i r="1">
      <x v="13"/>
    </i>
    <i>
      <x v="4"/>
    </i>
    <i r="1">
      <x v="7"/>
    </i>
    <i r="1">
      <x v="8"/>
    </i>
    <i r="1">
      <x v="11"/>
    </i>
    <i>
      <x v="1"/>
    </i>
    <i r="1">
      <x v="5"/>
    </i>
    <i r="1">
      <x v="6"/>
    </i>
    <i r="1">
      <x v="10"/>
    </i>
    <i r="1">
      <x v="12"/>
    </i>
    <i>
      <x v="2"/>
    </i>
    <i r="1">
      <x v="1"/>
    </i>
    <i r="1">
      <x v="3"/>
    </i>
    <i r="1">
      <x v="14"/>
    </i>
    <i t="grand">
      <x/>
    </i>
  </rowItems>
  <colItems count="1">
    <i/>
  </colItems>
  <dataFields count="1">
    <dataField name="Average of Comp per Visit" fld="10" subtotal="average" baseField="0" baseItem="0" numFmtId="164"/>
  </dataFields>
  <formats count="1">
    <format dxfId="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32D1FC-A984-FA49-846A-1F904F7C16ED}" name="PivotTable13"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1:B92" firstHeaderRow="1" firstDataRow="1" firstDataCol="0"/>
  <pivotFields count="15">
    <pivotField showAll="0"/>
    <pivotField showAll="0">
      <items count="16">
        <item x="13"/>
        <item x="3"/>
        <item x="6"/>
        <item x="7"/>
        <item x="11"/>
        <item x="9"/>
        <item x="1"/>
        <item x="4"/>
        <item x="10"/>
        <item x="8"/>
        <item x="5"/>
        <item x="0"/>
        <item x="14"/>
        <item x="2"/>
        <item x="12"/>
        <item t="default"/>
      </items>
    </pivotField>
    <pivotField showAll="0">
      <items count="6">
        <item x="4"/>
        <item x="1"/>
        <item x="3"/>
        <item x="2"/>
        <item x="0"/>
        <item t="default"/>
      </items>
    </pivotField>
    <pivotField showAll="0"/>
    <pivotField showAll="0"/>
    <pivotField showAll="0"/>
    <pivotField numFmtId="44" showAll="0"/>
    <pivotField numFmtId="44" showAll="0"/>
    <pivotField dataField="1" numFmtId="44" showAll="0"/>
    <pivotField numFmtId="44" showAll="0"/>
    <pivotField numFmtId="44" showAll="0"/>
    <pivotField numFmtId="2" showAll="0"/>
    <pivotField numFmtId="164" showAll="0"/>
    <pivotField numFmtId="164" showAll="0"/>
    <pivotField numFmtId="164" showAll="0"/>
  </pivotFields>
  <rowItems count="1">
    <i/>
  </rowItems>
  <colItems count="1">
    <i/>
  </colItems>
  <dataFields count="1">
    <dataField name="Sum of Total Compensation" fld="8" baseField="0" baseItem="0" numFmtId="4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457C3B-F0DA-D54A-8D9C-477DB65C0DF5}" name="PivotTable19"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3:G84" firstHeaderRow="1" firstDataRow="1" firstDataCol="0"/>
  <pivotFields count="15">
    <pivotField showAll="0"/>
    <pivotField showAll="0">
      <items count="16">
        <item x="13"/>
        <item x="3"/>
        <item x="6"/>
        <item x="7"/>
        <item x="11"/>
        <item x="9"/>
        <item x="1"/>
        <item x="4"/>
        <item x="10"/>
        <item x="8"/>
        <item x="5"/>
        <item x="0"/>
        <item x="14"/>
        <item x="2"/>
        <item x="12"/>
        <item t="default"/>
      </items>
    </pivotField>
    <pivotField showAll="0">
      <items count="6">
        <item x="4"/>
        <item x="1"/>
        <item x="3"/>
        <item x="2"/>
        <item x="0"/>
        <item t="default"/>
      </items>
    </pivotField>
    <pivotField showAll="0"/>
    <pivotField dataField="1" showAll="0"/>
    <pivotField showAll="0"/>
    <pivotField numFmtId="44" showAll="0"/>
    <pivotField numFmtId="44" showAll="0"/>
    <pivotField numFmtId="44" showAll="0"/>
    <pivotField numFmtId="44" showAll="0"/>
    <pivotField numFmtId="44" showAll="0"/>
    <pivotField numFmtId="2" showAll="0"/>
    <pivotField numFmtId="164" showAll="0"/>
    <pivotField numFmtId="164" showAll="0"/>
    <pivotField numFmtId="164" showAll="0"/>
  </pivotFields>
  <rowItems count="1">
    <i/>
  </rowItems>
  <colItems count="1">
    <i/>
  </colItems>
  <dataFields count="1">
    <dataField name="Average of Monthly RVUs" fld="4" subtotal="average" baseField="0" baseItem="0" numFmtId="1"/>
  </dataFields>
  <formats count="1">
    <format dxfId="8">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D2A8F5-4CE3-924A-9476-8BC56562446C}" name="PivotTable4"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pecialty" colHeaderCaption="Specialty">
  <location ref="B32:C38" firstHeaderRow="1" firstDataRow="1" firstDataCol="1"/>
  <pivotFields count="15">
    <pivotField showAll="0"/>
    <pivotField showAll="0"/>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44" showAll="0"/>
    <pivotField numFmtId="44" showAll="0"/>
    <pivotField numFmtId="44" showAll="0"/>
    <pivotField numFmtId="44" showAll="0"/>
    <pivotField numFmtId="44" showAll="0"/>
    <pivotField numFmtId="2" showAll="0"/>
    <pivotField numFmtId="164" showAll="0"/>
    <pivotField numFmtId="164" showAll="0"/>
    <pivotField numFmtId="164" showAll="0"/>
  </pivotFields>
  <rowFields count="1">
    <field x="2"/>
  </rowFields>
  <rowItems count="6">
    <i>
      <x/>
    </i>
    <i>
      <x v="3"/>
    </i>
    <i>
      <x v="4"/>
    </i>
    <i>
      <x v="2"/>
    </i>
    <i>
      <x v="1"/>
    </i>
    <i t="grand">
      <x/>
    </i>
  </rowItems>
  <colItems count="1">
    <i/>
  </colItems>
  <dataFields count="1">
    <dataField name="Average of Monthly RVUs" fld="4" subtotal="average" baseField="0" baseItem="0" numFmtId="1"/>
  </dataFields>
  <formats count="3">
    <format dxfId="11">
      <pivotArea collapsedLevelsAreSubtotals="1" fieldPosition="0">
        <references count="2">
          <reference field="4294967294" count="1" selected="0">
            <x v="0"/>
          </reference>
          <reference field="2" count="1">
            <x v="2"/>
          </reference>
        </references>
      </pivotArea>
    </format>
    <format dxfId="10">
      <pivotArea field="2" grandRow="1" outline="0" collapsedLevelsAreSubtotals="1" axis="axisRow" fieldPosition="0">
        <references count="1">
          <reference field="4294967294" count="1" selected="0">
            <x v="0"/>
          </reference>
        </references>
      </pivotArea>
    </format>
    <format dxfId="9">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0570249-517E-FB45-8A64-E3CDAEC52D97}" name="PivotTable12"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7:B88" firstHeaderRow="1" firstDataRow="1" firstDataCol="0"/>
  <pivotFields count="15">
    <pivotField showAll="0"/>
    <pivotField showAll="0">
      <items count="16">
        <item x="13"/>
        <item x="3"/>
        <item x="6"/>
        <item x="7"/>
        <item x="11"/>
        <item x="9"/>
        <item x="1"/>
        <item x="4"/>
        <item x="10"/>
        <item x="8"/>
        <item x="5"/>
        <item x="0"/>
        <item x="14"/>
        <item x="2"/>
        <item x="12"/>
        <item t="default"/>
      </items>
    </pivotField>
    <pivotField showAll="0">
      <items count="6">
        <item x="4"/>
        <item x="1"/>
        <item x="3"/>
        <item x="2"/>
        <item x="0"/>
        <item t="default"/>
      </items>
    </pivotField>
    <pivotField showAll="0"/>
    <pivotField showAll="0"/>
    <pivotField showAll="0"/>
    <pivotField numFmtId="44" showAll="0"/>
    <pivotField numFmtId="44" showAll="0"/>
    <pivotField numFmtId="44" showAll="0"/>
    <pivotField numFmtId="44" showAll="0"/>
    <pivotField dataField="1" numFmtId="44" showAll="0"/>
    <pivotField numFmtId="2" showAll="0"/>
    <pivotField numFmtId="164" showAll="0"/>
    <pivotField numFmtId="164" showAll="0"/>
    <pivotField numFmtId="164" showAll="0"/>
  </pivotFields>
  <rowItems count="1">
    <i/>
  </rowItems>
  <colItems count="1">
    <i/>
  </colItems>
  <dataFields count="1">
    <dataField name="Average of Comp per Visit" fld="10" subtotal="average" baseField="0" baseItem="0" numFmtId="4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1D827C-6324-2646-AD14-0242AD854879}" name="PivotTable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vider Name">
  <location ref="E65:H81" firstHeaderRow="0" firstDataRow="1" firstDataCol="1"/>
  <pivotFields count="15">
    <pivotField showAll="0"/>
    <pivotField axis="axisRow" showAll="0" sortType="ascending">
      <items count="16">
        <item x="13"/>
        <item x="3"/>
        <item x="6"/>
        <item x="7"/>
        <item x="11"/>
        <item x="9"/>
        <item x="1"/>
        <item x="4"/>
        <item x="10"/>
        <item x="8"/>
        <item x="5"/>
        <item x="0"/>
        <item x="14"/>
        <item x="2"/>
        <item x="12"/>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numFmtId="44" showAll="0"/>
    <pivotField dataField="1" numFmtId="44" showAll="0"/>
    <pivotField dataField="1" numFmtId="44" showAll="0"/>
    <pivotField numFmtId="44" showAll="0"/>
    <pivotField numFmtId="44" showAll="0"/>
    <pivotField numFmtId="2" showAll="0"/>
    <pivotField numFmtId="164" showAll="0"/>
    <pivotField numFmtId="164" showAll="0"/>
    <pivotField numFmtId="164" showAll="0"/>
  </pivotFields>
  <rowFields count="1">
    <field x="1"/>
  </rowFields>
  <rowItems count="16">
    <i>
      <x v="12"/>
    </i>
    <i>
      <x v="5"/>
    </i>
    <i>
      <x v="10"/>
    </i>
    <i>
      <x v="1"/>
    </i>
    <i>
      <x v="14"/>
    </i>
    <i>
      <x v="3"/>
    </i>
    <i>
      <x v="6"/>
    </i>
    <i>
      <x v="7"/>
    </i>
    <i>
      <x v="8"/>
    </i>
    <i>
      <x v="11"/>
    </i>
    <i>
      <x v="9"/>
    </i>
    <i>
      <x/>
    </i>
    <i>
      <x v="13"/>
    </i>
    <i>
      <x v="4"/>
    </i>
    <i>
      <x v="2"/>
    </i>
    <i t="grand">
      <x/>
    </i>
  </rowItems>
  <colFields count="1">
    <field x="-2"/>
  </colFields>
  <colItems count="3">
    <i>
      <x/>
    </i>
    <i i="1">
      <x v="1"/>
    </i>
    <i i="2">
      <x v="2"/>
    </i>
  </colItems>
  <dataFields count="3">
    <dataField name="Sum of Base Salary" fld="6" baseField="0" baseItem="0" numFmtId="44"/>
    <dataField name="Sum of Bonus" fld="7" baseField="0" baseItem="0" numFmtId="44"/>
    <dataField name="Sum of Total Compensation" fld="8" baseField="0" baseItem="0" numFmtId="44"/>
  </dataFields>
  <formats count="1">
    <format dxfId="12">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A210BF5-3CE6-2E4D-BDD9-260B823CB09E}" name="PivotTable6"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pecialty">
  <location ref="B107:C113" firstHeaderRow="1" firstDataRow="1" firstDataCol="1"/>
  <pivotFields count="15">
    <pivotField showAll="0"/>
    <pivotField showAll="0"/>
    <pivotField axis="axisRow" showAll="0">
      <items count="6">
        <item x="4"/>
        <item x="1"/>
        <item x="3"/>
        <item x="2"/>
        <item x="0"/>
        <item t="default"/>
      </items>
    </pivotField>
    <pivotField showAll="0"/>
    <pivotField showAll="0"/>
    <pivotField showAll="0"/>
    <pivotField numFmtId="44" showAll="0"/>
    <pivotField numFmtId="44" showAll="0"/>
    <pivotField dataField="1" numFmtId="44" showAll="0"/>
    <pivotField numFmtId="44" showAll="0"/>
    <pivotField numFmtId="44" showAll="0"/>
    <pivotField numFmtId="2" showAll="0"/>
    <pivotField numFmtId="164" showAll="0"/>
    <pivotField numFmtId="164" showAll="0"/>
    <pivotField numFmtId="164" showAll="0"/>
  </pivotFields>
  <rowFields count="1">
    <field x="2"/>
  </rowFields>
  <rowItems count="6">
    <i>
      <x/>
    </i>
    <i>
      <x v="1"/>
    </i>
    <i>
      <x v="2"/>
    </i>
    <i>
      <x v="3"/>
    </i>
    <i>
      <x v="4"/>
    </i>
    <i t="grand">
      <x/>
    </i>
  </rowItems>
  <colItems count="1">
    <i/>
  </colItems>
  <dataFields count="1">
    <dataField name="% of total compensation" fld="8" showDataAs="percentOfTotal" baseField="8" baseItem="0" numFmtId="9"/>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der_Name" xr10:uid="{71308681-9F8B-D145-A1BF-7B6C2CB83621}" sourceName="Provider Name">
  <pivotTables>
    <pivotTable tabId="5" name="PivotTable2"/>
    <pivotTable tabId="5" name="PivotTable11"/>
    <pivotTable tabId="5" name="PivotTable10"/>
    <pivotTable tabId="5" name="PivotTable8"/>
    <pivotTable tabId="5" name="PivotTable12"/>
    <pivotTable tabId="5" name="PivotTable13"/>
    <pivotTable tabId="5" name="PivotTable14"/>
    <pivotTable tabId="5" name="PivotTable19"/>
    <pivotTable tabId="5" name="PivotTable21"/>
    <pivotTable tabId="5" name="PivotTable25"/>
  </pivotTables>
  <data>
    <tabular pivotCacheId="531102973">
      <items count="15">
        <i x="13" s="1"/>
        <i x="3" s="1"/>
        <i x="6" s="1"/>
        <i x="7" s="1"/>
        <i x="11" s="1"/>
        <i x="9" s="1"/>
        <i x="1" s="1"/>
        <i x="4" s="1"/>
        <i x="10" s="1"/>
        <i x="8" s="1"/>
        <i x="5" s="1"/>
        <i x="0" s="1"/>
        <i x="14" s="1"/>
        <i x="2"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ty1" xr10:uid="{12F4A584-954B-BE4F-B3FF-66A69A77528A}" sourceName="Specialty">
  <pivotTables>
    <pivotTable tabId="5" name="PivotTable2"/>
    <pivotTable tabId="5" name="PivotTable11"/>
    <pivotTable tabId="5" name="PivotTable5"/>
    <pivotTable tabId="5" name="PivotTable8"/>
    <pivotTable tabId="5" name="PivotTable12"/>
    <pivotTable tabId="5" name="PivotTable13"/>
    <pivotTable tabId="5" name="PivotTable14"/>
    <pivotTable tabId="5" name="PivotTable19"/>
    <pivotTable tabId="5" name="PivotTable21"/>
    <pivotTable tabId="5" name="PivotTable25"/>
  </pivotTables>
  <data>
    <tabular pivotCacheId="531102973">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der Name" xr10:uid="{266E7AEF-8865-3346-9C4F-2B7AA248217C}" cache="Slicer_Provider_Name" caption="Provider Name" style="SlicerStyleDark1" rowHeight="251883"/>
  <slicer name="Specialty" xr10:uid="{6D7EE22C-ED76-CF45-AF39-FADC7BD4F7D1}" cache="Slicer_Specialty1" caption="Specialty"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2D077B-16B4-5140-8EC5-86A8F00C894D}" name="Clean_Table" displayName="Clean_Table" ref="A1:P16" totalsRowShown="0" headerRowDxfId="33" dataDxfId="31" headerRowBorderDxfId="32" tableBorderDxfId="30" totalsRowBorderDxfId="29" headerRowCellStyle="60% - Accent1" dataCellStyle="Currency">
  <autoFilter ref="A1:P16" xr:uid="{932D077B-16B4-5140-8EC5-86A8F00C894D}"/>
  <tableColumns count="16">
    <tableColumn id="1" xr3:uid="{EE170F39-B60C-B64C-B03A-0D05F9E5AA0F}" name="Provider ID" dataDxfId="28"/>
    <tableColumn id="2" xr3:uid="{AF21F38D-21C6-6743-8449-ABA81EEEFB43}" name="Provider Name" dataDxfId="27"/>
    <tableColumn id="3" xr3:uid="{292098F1-9EBD-2E40-AF5D-8DC0DAFF5997}" name="Specialty" dataDxfId="26"/>
    <tableColumn id="4" xr3:uid="{0C634CD2-4C62-4E44-A9A0-801F8D88DC2E}" name="Years Experience" dataDxfId="25"/>
    <tableColumn id="5" xr3:uid="{04EDC16F-7BD8-F246-B520-6BE1DF15C2D4}" name="Monthly RVUs" dataDxfId="24"/>
    <tableColumn id="6" xr3:uid="{2AAF840B-83DC-6241-AF4A-A2514DFF920F}" name="Monthly Visits" dataDxfId="23"/>
    <tableColumn id="7" xr3:uid="{38205727-E97E-784C-97BF-DB6E3DB23151}" name="Base Salary" dataDxfId="22" dataCellStyle="Currency"/>
    <tableColumn id="8" xr3:uid="{113FDBEE-AE35-C440-954D-BA5021753A1A}" name="Bonus" dataDxfId="21" dataCellStyle="Currency"/>
    <tableColumn id="9" xr3:uid="{771AFE3F-237B-2F4E-8EB0-16473C69539C}" name="Total Compensation" dataDxfId="20" dataCellStyle="Currency">
      <calculatedColumnFormula>SUM(G2+H2)</calculatedColumnFormula>
    </tableColumn>
    <tableColumn id="10" xr3:uid="{E729834B-D5B6-B342-89C0-20D44BBC4043}" name="Comp per RVU" dataDxfId="19">
      <calculatedColumnFormula>(I2/12)/E2</calculatedColumnFormula>
    </tableColumn>
    <tableColumn id="11" xr3:uid="{B2FE6DB4-D409-EB46-94D0-D958268C836E}" name="Comp per Visit" dataDxfId="18">
      <calculatedColumnFormula>((I2/12)/F2)</calculatedColumnFormula>
    </tableColumn>
    <tableColumn id="12" xr3:uid="{488EC309-8999-5D48-9690-1D4769AEEA16}" name="Z-scores of comp per RVU" dataDxfId="17" dataCellStyle="Currency">
      <calculatedColumnFormula>STANDARDIZE(Clean_Table[[#This Row],[Comp per RVU]], AVERAGE(Clean_Table[Comp per RVU]), _xlfn.STDEV.S(Clean_Table[Comp per RVU]))</calculatedColumnFormula>
    </tableColumn>
    <tableColumn id="13" xr3:uid="{93A25CE8-C6F0-B14A-B752-26FCAE0DBF19}" name="Target Comp per RVU" dataDxfId="16" dataCellStyle="Currency">
      <calculatedColumnFormula>_xlfn.XLOOKUP(Clean_Table[[#This Row],[Specialty]], 'Pivot Tables'!$B$41:$B$46, 'Pivot Tables'!$C$41:$C$46)</calculatedColumnFormula>
    </tableColumn>
    <tableColumn id="14" xr3:uid="{C37CE586-9E26-4349-B3BD-0705D418F39D}" name="Expected Comp" dataDxfId="15" dataCellStyle="Currency">
      <calculatedColumnFormula>(Clean_Table[[#This Row],[Monthly RVUs]]*Clean_Table[[#This Row],[Target Comp per RVU]])*12</calculatedColumnFormula>
    </tableColumn>
    <tableColumn id="15" xr3:uid="{22824139-2AA2-8540-9CA7-29F100E04D7E}" name="Variance" dataDxfId="14" dataCellStyle="Currency">
      <calculatedColumnFormula>Clean_Table[[#This Row],[Total Compensation]]-Clean_Table[[#This Row],[Expected Comp]]</calculatedColumnFormula>
    </tableColumn>
    <tableColumn id="16" xr3:uid="{D04C2E28-FF71-394F-BA00-1D4ED1FDD75B}" name="Bonus %" dataDxfId="13" dataCellStyle="Percent">
      <calculatedColumnFormula>(Clean_Table[[#This Row],[Bonus]]/Clean_Table[[#This Row],[Total Compensation]])*100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FEBD0-DCA7-5241-A4A5-AD79C8E5B9B1}">
  <dimension ref="A1:I16"/>
  <sheetViews>
    <sheetView workbookViewId="0">
      <selection activeCell="H25" sqref="H25"/>
    </sheetView>
  </sheetViews>
  <sheetFormatPr baseColWidth="10" defaultRowHeight="16" x14ac:dyDescent="0.2"/>
  <sheetData>
    <row r="1" spans="1:9" x14ac:dyDescent="0.2">
      <c r="A1" t="s">
        <v>0</v>
      </c>
      <c r="B1" t="s">
        <v>1</v>
      </c>
      <c r="C1" t="s">
        <v>2</v>
      </c>
      <c r="D1" t="s">
        <v>3</v>
      </c>
      <c r="E1" t="s">
        <v>4</v>
      </c>
      <c r="F1" t="s">
        <v>5</v>
      </c>
      <c r="G1" t="s">
        <v>6</v>
      </c>
      <c r="H1" t="s">
        <v>7</v>
      </c>
      <c r="I1" t="s">
        <v>8</v>
      </c>
    </row>
    <row r="2" spans="1:9" x14ac:dyDescent="0.2">
      <c r="A2" t="s">
        <v>9</v>
      </c>
      <c r="B2" t="s">
        <v>24</v>
      </c>
      <c r="C2" t="s">
        <v>39</v>
      </c>
      <c r="D2">
        <v>12</v>
      </c>
      <c r="E2">
        <v>820</v>
      </c>
      <c r="F2">
        <v>310</v>
      </c>
      <c r="G2">
        <v>220000</v>
      </c>
      <c r="H2">
        <v>4500</v>
      </c>
    </row>
    <row r="3" spans="1:9" x14ac:dyDescent="0.2">
      <c r="A3" t="s">
        <v>10</v>
      </c>
      <c r="B3" t="s">
        <v>25</v>
      </c>
      <c r="C3" t="s">
        <v>40</v>
      </c>
      <c r="D3">
        <v>8</v>
      </c>
      <c r="E3">
        <v>540</v>
      </c>
      <c r="F3">
        <v>280</v>
      </c>
      <c r="G3">
        <v>180000</v>
      </c>
      <c r="H3">
        <v>2000</v>
      </c>
    </row>
    <row r="4" spans="1:9" x14ac:dyDescent="0.2">
      <c r="A4" t="s">
        <v>11</v>
      </c>
      <c r="B4" t="s">
        <v>26</v>
      </c>
      <c r="C4" t="s">
        <v>41</v>
      </c>
      <c r="D4">
        <v>15</v>
      </c>
      <c r="E4">
        <v>910</v>
      </c>
      <c r="F4">
        <v>260</v>
      </c>
      <c r="G4">
        <v>250000</v>
      </c>
      <c r="H4">
        <v>6000</v>
      </c>
    </row>
    <row r="5" spans="1:9" x14ac:dyDescent="0.2">
      <c r="A5" t="s">
        <v>12</v>
      </c>
      <c r="B5" t="s">
        <v>27</v>
      </c>
      <c r="C5" t="s">
        <v>43</v>
      </c>
      <c r="D5">
        <v>6</v>
      </c>
      <c r="E5">
        <v>480</v>
      </c>
      <c r="F5">
        <v>300</v>
      </c>
      <c r="G5">
        <v>170000</v>
      </c>
      <c r="H5">
        <v>1500</v>
      </c>
    </row>
    <row r="6" spans="1:9" x14ac:dyDescent="0.2">
      <c r="A6" t="s">
        <v>13</v>
      </c>
      <c r="B6" t="s">
        <v>28</v>
      </c>
      <c r="C6" t="s">
        <v>39</v>
      </c>
      <c r="D6">
        <v>10</v>
      </c>
      <c r="E6">
        <v>760</v>
      </c>
      <c r="F6">
        <v>295</v>
      </c>
      <c r="G6">
        <v>210000</v>
      </c>
      <c r="H6">
        <v>3500</v>
      </c>
    </row>
    <row r="7" spans="1:9" x14ac:dyDescent="0.2">
      <c r="A7" t="s">
        <v>14</v>
      </c>
      <c r="B7" t="s">
        <v>29</v>
      </c>
      <c r="C7" t="s">
        <v>40</v>
      </c>
      <c r="D7">
        <v>5</v>
      </c>
      <c r="E7">
        <v>500</v>
      </c>
      <c r="F7">
        <v>270</v>
      </c>
      <c r="G7">
        <v>165000</v>
      </c>
      <c r="H7">
        <v>1200</v>
      </c>
    </row>
    <row r="8" spans="1:9" x14ac:dyDescent="0.2">
      <c r="A8" t="s">
        <v>15</v>
      </c>
      <c r="B8" t="s">
        <v>30</v>
      </c>
      <c r="C8" t="s">
        <v>42</v>
      </c>
      <c r="D8">
        <v>18</v>
      </c>
      <c r="E8">
        <v>1020</v>
      </c>
      <c r="F8">
        <v>240</v>
      </c>
      <c r="G8">
        <v>280000</v>
      </c>
      <c r="H8">
        <v>8000</v>
      </c>
    </row>
    <row r="9" spans="1:9" x14ac:dyDescent="0.2">
      <c r="A9" t="s">
        <v>16</v>
      </c>
      <c r="B9" t="s">
        <v>31</v>
      </c>
      <c r="C9" t="s">
        <v>43</v>
      </c>
      <c r="D9">
        <v>7</v>
      </c>
      <c r="E9">
        <v>530</v>
      </c>
      <c r="F9">
        <v>530</v>
      </c>
      <c r="G9">
        <v>175000</v>
      </c>
      <c r="H9">
        <v>1800</v>
      </c>
    </row>
    <row r="10" spans="1:9" x14ac:dyDescent="0.2">
      <c r="A10" t="s">
        <v>17</v>
      </c>
      <c r="B10" t="s">
        <v>32</v>
      </c>
      <c r="C10" t="s">
        <v>41</v>
      </c>
      <c r="D10">
        <v>11</v>
      </c>
      <c r="E10">
        <v>870</v>
      </c>
      <c r="F10">
        <v>255</v>
      </c>
      <c r="G10">
        <v>240000</v>
      </c>
      <c r="H10">
        <v>5000</v>
      </c>
    </row>
    <row r="11" spans="1:9" x14ac:dyDescent="0.2">
      <c r="A11" t="s">
        <v>18</v>
      </c>
      <c r="B11" t="s">
        <v>33</v>
      </c>
      <c r="C11" t="s">
        <v>40</v>
      </c>
      <c r="D11">
        <v>4</v>
      </c>
      <c r="E11">
        <v>460</v>
      </c>
      <c r="F11">
        <v>260</v>
      </c>
      <c r="G11">
        <v>160000</v>
      </c>
      <c r="H11">
        <v>1000</v>
      </c>
    </row>
    <row r="12" spans="1:9" x14ac:dyDescent="0.2">
      <c r="A12" t="s">
        <v>19</v>
      </c>
      <c r="B12" t="s">
        <v>34</v>
      </c>
      <c r="C12" t="s">
        <v>39</v>
      </c>
      <c r="D12">
        <v>9</v>
      </c>
      <c r="E12">
        <v>790</v>
      </c>
      <c r="F12">
        <v>300</v>
      </c>
      <c r="G12">
        <v>215000</v>
      </c>
      <c r="H12">
        <v>4000</v>
      </c>
    </row>
    <row r="13" spans="1:9" x14ac:dyDescent="0.2">
      <c r="A13" t="s">
        <v>20</v>
      </c>
      <c r="B13" t="s">
        <v>35</v>
      </c>
      <c r="C13" t="s">
        <v>42</v>
      </c>
      <c r="D13">
        <v>14</v>
      </c>
      <c r="E13">
        <v>980</v>
      </c>
      <c r="F13">
        <v>230</v>
      </c>
      <c r="G13">
        <v>270000</v>
      </c>
      <c r="H13">
        <v>7500</v>
      </c>
    </row>
    <row r="14" spans="1:9" x14ac:dyDescent="0.2">
      <c r="A14" t="s">
        <v>21</v>
      </c>
      <c r="B14" t="s">
        <v>36</v>
      </c>
      <c r="C14" t="s">
        <v>43</v>
      </c>
      <c r="D14">
        <v>6</v>
      </c>
      <c r="E14">
        <v>510</v>
      </c>
      <c r="F14">
        <v>305</v>
      </c>
      <c r="G14">
        <v>172000</v>
      </c>
      <c r="H14">
        <v>1600</v>
      </c>
    </row>
    <row r="15" spans="1:9" x14ac:dyDescent="0.2">
      <c r="A15" t="s">
        <v>22</v>
      </c>
      <c r="B15" t="s">
        <v>37</v>
      </c>
      <c r="C15" t="s">
        <v>41</v>
      </c>
      <c r="D15">
        <v>13</v>
      </c>
      <c r="E15">
        <v>890</v>
      </c>
      <c r="F15">
        <v>250</v>
      </c>
      <c r="G15">
        <v>245000</v>
      </c>
      <c r="H15">
        <v>5500</v>
      </c>
    </row>
    <row r="16" spans="1:9" x14ac:dyDescent="0.2">
      <c r="A16" t="s">
        <v>23</v>
      </c>
      <c r="B16" t="s">
        <v>38</v>
      </c>
      <c r="C16" t="s">
        <v>40</v>
      </c>
      <c r="D16">
        <v>3</v>
      </c>
      <c r="E16">
        <v>420</v>
      </c>
      <c r="F16">
        <v>240</v>
      </c>
      <c r="G16">
        <v>150000</v>
      </c>
      <c r="H16">
        <v>800</v>
      </c>
    </row>
  </sheetData>
  <sheetProtection sheet="1" objects="1" scenarios="1"/>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8A5E-56C8-6445-A0C2-5859E62FD550}">
  <dimension ref="A1:P17"/>
  <sheetViews>
    <sheetView showGridLines="0" zoomScale="90" zoomScaleNormal="121" workbookViewId="0">
      <selection activeCell="H15" sqref="H15"/>
    </sheetView>
  </sheetViews>
  <sheetFormatPr baseColWidth="10" defaultRowHeight="16" x14ac:dyDescent="0.2"/>
  <cols>
    <col min="1" max="3" width="16.5" customWidth="1"/>
    <col min="4" max="4" width="18.5" customWidth="1"/>
    <col min="5" max="6" width="16.5" customWidth="1"/>
    <col min="7" max="8" width="16.5" style="1" customWidth="1"/>
    <col min="9" max="9" width="22" style="1" customWidth="1"/>
    <col min="10" max="10" width="16" customWidth="1"/>
    <col min="11" max="11" width="16.33203125" customWidth="1"/>
    <col min="12" max="12" width="24" customWidth="1"/>
    <col min="13" max="13" width="23" customWidth="1"/>
    <col min="14" max="14" width="17.1640625" customWidth="1"/>
    <col min="15" max="15" width="14.33203125" customWidth="1"/>
  </cols>
  <sheetData>
    <row r="1" spans="1:16" x14ac:dyDescent="0.2">
      <c r="A1" s="5" t="s">
        <v>0</v>
      </c>
      <c r="B1" s="6" t="s">
        <v>1</v>
      </c>
      <c r="C1" s="6" t="s">
        <v>2</v>
      </c>
      <c r="D1" s="6" t="s">
        <v>3</v>
      </c>
      <c r="E1" s="6" t="s">
        <v>4</v>
      </c>
      <c r="F1" s="6" t="s">
        <v>5</v>
      </c>
      <c r="G1" s="7" t="s">
        <v>6</v>
      </c>
      <c r="H1" s="7" t="s">
        <v>7</v>
      </c>
      <c r="I1" s="7" t="s">
        <v>8</v>
      </c>
      <c r="J1" s="6" t="s">
        <v>44</v>
      </c>
      <c r="K1" s="6" t="s">
        <v>45</v>
      </c>
      <c r="L1" s="7" t="s">
        <v>59</v>
      </c>
      <c r="M1" s="7" t="s">
        <v>60</v>
      </c>
      <c r="N1" s="7" t="s">
        <v>61</v>
      </c>
      <c r="O1" s="23" t="s">
        <v>62</v>
      </c>
      <c r="P1" s="7" t="s">
        <v>64</v>
      </c>
    </row>
    <row r="2" spans="1:16" x14ac:dyDescent="0.2">
      <c r="A2" s="4" t="s">
        <v>9</v>
      </c>
      <c r="B2" s="3" t="s">
        <v>24</v>
      </c>
      <c r="C2" s="3" t="s">
        <v>39</v>
      </c>
      <c r="D2" s="3">
        <v>12</v>
      </c>
      <c r="E2" s="3">
        <v>820</v>
      </c>
      <c r="F2" s="3">
        <v>310</v>
      </c>
      <c r="G2" s="14">
        <v>220000</v>
      </c>
      <c r="H2" s="14">
        <v>4500</v>
      </c>
      <c r="I2" s="14">
        <f>SUM(G2+H2)</f>
        <v>224500</v>
      </c>
      <c r="J2" s="15">
        <f t="shared" ref="J2:J16" si="0">(I2/12)/E2</f>
        <v>22.815040650406502</v>
      </c>
      <c r="K2" s="15">
        <f>((I2/12)/F2)</f>
        <v>60.349462365591393</v>
      </c>
      <c r="L2" s="24">
        <f>STANDARDIZE(Clean_Table[[#This Row],[Comp per RVU]], AVERAGE(Clean_Table[Comp per RVU]), _xlfn.STDEV.S(Clean_Table[Comp per RVU]))</f>
        <v>-1.0706625470007327</v>
      </c>
      <c r="M2" s="14">
        <f>_xlfn.XLOOKUP(Clean_Table[[#This Row],[Specialty]], 'Pivot Tables'!$B$41:$B$46, 'Pivot Tables'!$C$41:$C$46)</f>
        <v>23.108798064163185</v>
      </c>
      <c r="N2" s="14">
        <f>(Clean_Table[[#This Row],[Monthly RVUs]]*Clean_Table[[#This Row],[Target Comp per RVU]])*12</f>
        <v>227390.57295136573</v>
      </c>
      <c r="O2" s="14">
        <f>Clean_Table[[#This Row],[Total Compensation]]-Clean_Table[[#This Row],[Expected Comp]]</f>
        <v>-2890.5729513657279</v>
      </c>
      <c r="P2" s="26">
        <f>(Clean_Table[[#This Row],[Bonus]]/Clean_Table[[#This Row],[Total Compensation]])*100</f>
        <v>2.0044543429844097</v>
      </c>
    </row>
    <row r="3" spans="1:16" x14ac:dyDescent="0.2">
      <c r="A3" s="4" t="s">
        <v>10</v>
      </c>
      <c r="B3" s="3" t="s">
        <v>25</v>
      </c>
      <c r="C3" s="3" t="s">
        <v>40</v>
      </c>
      <c r="D3" s="3">
        <v>8</v>
      </c>
      <c r="E3" s="3">
        <v>540</v>
      </c>
      <c r="F3" s="3">
        <v>280</v>
      </c>
      <c r="G3" s="14">
        <v>180000</v>
      </c>
      <c r="H3" s="14">
        <v>2000</v>
      </c>
      <c r="I3" s="14">
        <f t="shared" ref="I3:I16" si="1">SUM(G3+H3)</f>
        <v>182000</v>
      </c>
      <c r="J3" s="15">
        <f t="shared" si="0"/>
        <v>28.086419753086417</v>
      </c>
      <c r="K3" s="15">
        <f t="shared" ref="K3:K16" si="2">((I3/12)/F3)</f>
        <v>54.166666666666664</v>
      </c>
      <c r="L3" s="24">
        <f>STANDARDIZE(Clean_Table[[#This Row],[Comp per RVU]], AVERAGE(Clean_Table[Comp per RVU]), _xlfn.STDEV.S(Clean_Table[Comp per RVU]))</f>
        <v>0.79382040997186754</v>
      </c>
      <c r="M3" s="14">
        <f>_xlfn.XLOOKUP(Clean_Table[[#This Row],[Specialty]], 'Pivot Tables'!$B$41:$B$46, 'Pivot Tables'!$C$41:$C$46)</f>
        <v>28.718430335097</v>
      </c>
      <c r="N3" s="14">
        <f>(Clean_Table[[#This Row],[Monthly RVUs]]*Clean_Table[[#This Row],[Target Comp per RVU]])*12</f>
        <v>186095.42857142855</v>
      </c>
      <c r="O3" s="14">
        <f>Clean_Table[[#This Row],[Total Compensation]]-Clean_Table[[#This Row],[Expected Comp]]</f>
        <v>-4095.4285714285506</v>
      </c>
      <c r="P3" s="26">
        <f>(Clean_Table[[#This Row],[Bonus]]/Clean_Table[[#This Row],[Total Compensation]])*100</f>
        <v>1.098901098901099</v>
      </c>
    </row>
    <row r="4" spans="1:16" x14ac:dyDescent="0.2">
      <c r="A4" s="4" t="s">
        <v>11</v>
      </c>
      <c r="B4" s="3" t="s">
        <v>26</v>
      </c>
      <c r="C4" s="3" t="s">
        <v>41</v>
      </c>
      <c r="D4" s="3">
        <v>15</v>
      </c>
      <c r="E4" s="3">
        <v>910</v>
      </c>
      <c r="F4" s="3">
        <v>260</v>
      </c>
      <c r="G4" s="14">
        <v>250000</v>
      </c>
      <c r="H4" s="14">
        <v>6000</v>
      </c>
      <c r="I4" s="14">
        <f t="shared" si="1"/>
        <v>256000</v>
      </c>
      <c r="J4" s="15">
        <f t="shared" si="0"/>
        <v>23.443223443223442</v>
      </c>
      <c r="K4" s="15">
        <f t="shared" si="2"/>
        <v>82.051282051282044</v>
      </c>
      <c r="L4" s="24">
        <f>STANDARDIZE(Clean_Table[[#This Row],[Comp per RVU]], AVERAGE(Clean_Table[Comp per RVU]), _xlfn.STDEV.S(Clean_Table[Comp per RVU]))</f>
        <v>-0.84847474979313109</v>
      </c>
      <c r="M4" s="14">
        <f>_xlfn.XLOOKUP(Clean_Table[[#This Row],[Specialty]], 'Pivot Tables'!$B$41:$B$46, 'Pivot Tables'!$C$41:$C$46)</f>
        <v>23.455237524396765</v>
      </c>
      <c r="N4" s="14">
        <f>(Clean_Table[[#This Row],[Monthly RVUs]]*Clean_Table[[#This Row],[Target Comp per RVU]])*12</f>
        <v>256131.19376641267</v>
      </c>
      <c r="O4" s="14">
        <f>Clean_Table[[#This Row],[Total Compensation]]-Clean_Table[[#This Row],[Expected Comp]]</f>
        <v>-131.19376641267445</v>
      </c>
      <c r="P4" s="26">
        <f>(Clean_Table[[#This Row],[Bonus]]/Clean_Table[[#This Row],[Total Compensation]])*100</f>
        <v>2.34375</v>
      </c>
    </row>
    <row r="5" spans="1:16" x14ac:dyDescent="0.2">
      <c r="A5" s="4" t="s">
        <v>12</v>
      </c>
      <c r="B5" s="3" t="s">
        <v>27</v>
      </c>
      <c r="C5" s="3" t="s">
        <v>43</v>
      </c>
      <c r="D5" s="3">
        <v>6</v>
      </c>
      <c r="E5" s="3">
        <v>480</v>
      </c>
      <c r="F5" s="3">
        <v>300</v>
      </c>
      <c r="G5" s="14">
        <v>170000</v>
      </c>
      <c r="H5" s="14">
        <v>1500</v>
      </c>
      <c r="I5" s="14">
        <f t="shared" si="1"/>
        <v>171500</v>
      </c>
      <c r="J5" s="15">
        <f t="shared" si="0"/>
        <v>29.774305555555554</v>
      </c>
      <c r="K5" s="15">
        <f t="shared" si="2"/>
        <v>47.638888888888886</v>
      </c>
      <c r="L5" s="24">
        <f>STANDARDIZE(Clean_Table[[#This Row],[Comp per RVU]], AVERAGE(Clean_Table[Comp per RVU]), _xlfn.STDEV.S(Clean_Table[Comp per RVU]))</f>
        <v>1.3908243914194938</v>
      </c>
      <c r="M5" s="14">
        <f>_xlfn.XLOOKUP(Clean_Table[[#This Row],[Specialty]], 'Pivot Tables'!$B$41:$B$46, 'Pivot Tables'!$C$41:$C$46)</f>
        <v>28.646353588605251</v>
      </c>
      <c r="N5" s="14">
        <f>(Clean_Table[[#This Row],[Monthly RVUs]]*Clean_Table[[#This Row],[Target Comp per RVU]])*12</f>
        <v>165002.99667036624</v>
      </c>
      <c r="O5" s="14">
        <f>Clean_Table[[#This Row],[Total Compensation]]-Clean_Table[[#This Row],[Expected Comp]]</f>
        <v>6497.0033296337642</v>
      </c>
      <c r="P5" s="26">
        <f>(Clean_Table[[#This Row],[Bonus]]/Clean_Table[[#This Row],[Total Compensation]])*100</f>
        <v>0.87463556851311952</v>
      </c>
    </row>
    <row r="6" spans="1:16" x14ac:dyDescent="0.2">
      <c r="A6" s="4" t="s">
        <v>13</v>
      </c>
      <c r="B6" s="3" t="s">
        <v>28</v>
      </c>
      <c r="C6" s="3" t="s">
        <v>39</v>
      </c>
      <c r="D6" s="3">
        <v>10</v>
      </c>
      <c r="E6" s="3">
        <v>760</v>
      </c>
      <c r="F6" s="3">
        <v>295</v>
      </c>
      <c r="G6" s="14">
        <v>210000</v>
      </c>
      <c r="H6" s="14">
        <v>3500</v>
      </c>
      <c r="I6" s="14">
        <f t="shared" si="1"/>
        <v>213500</v>
      </c>
      <c r="J6" s="15">
        <f t="shared" si="0"/>
        <v>23.410087719298247</v>
      </c>
      <c r="K6" s="15">
        <f t="shared" si="2"/>
        <v>60.310734463276837</v>
      </c>
      <c r="L6" s="24">
        <f>STANDARDIZE(Clean_Table[[#This Row],[Comp per RVU]], AVERAGE(Clean_Table[Comp per RVU]), _xlfn.STDEV.S(Clean_Table[Comp per RVU]))</f>
        <v>-0.86019483125987029</v>
      </c>
      <c r="M6" s="14">
        <f>_xlfn.XLOOKUP(Clean_Table[[#This Row],[Specialty]], 'Pivot Tables'!$B$41:$B$46, 'Pivot Tables'!$C$41:$C$46)</f>
        <v>23.108798064163185</v>
      </c>
      <c r="N6" s="14">
        <f>(Clean_Table[[#This Row],[Monthly RVUs]]*Clean_Table[[#This Row],[Target Comp per RVU]])*12</f>
        <v>210752.23834516824</v>
      </c>
      <c r="O6" s="14">
        <f>Clean_Table[[#This Row],[Total Compensation]]-Clean_Table[[#This Row],[Expected Comp]]</f>
        <v>2747.7616548317601</v>
      </c>
      <c r="P6" s="26">
        <f>(Clean_Table[[#This Row],[Bonus]]/Clean_Table[[#This Row],[Total Compensation]])*100</f>
        <v>1.639344262295082</v>
      </c>
    </row>
    <row r="7" spans="1:16" x14ac:dyDescent="0.2">
      <c r="A7" s="4" t="s">
        <v>14</v>
      </c>
      <c r="B7" s="3" t="s">
        <v>29</v>
      </c>
      <c r="C7" s="3" t="s">
        <v>40</v>
      </c>
      <c r="D7" s="3">
        <v>5</v>
      </c>
      <c r="E7" s="3">
        <v>500</v>
      </c>
      <c r="F7" s="3">
        <v>270</v>
      </c>
      <c r="G7" s="14">
        <v>165000</v>
      </c>
      <c r="H7" s="14">
        <v>1200</v>
      </c>
      <c r="I7" s="14">
        <f t="shared" si="1"/>
        <v>166200</v>
      </c>
      <c r="J7" s="15">
        <f t="shared" si="0"/>
        <v>27.7</v>
      </c>
      <c r="K7" s="15">
        <f t="shared" si="2"/>
        <v>51.296296296296298</v>
      </c>
      <c r="L7" s="24">
        <f>STANDARDIZE(Clean_Table[[#This Row],[Comp per RVU]], AVERAGE(Clean_Table[Comp per RVU]), _xlfn.STDEV.S(Clean_Table[Comp per RVU]))</f>
        <v>0.6571440241849098</v>
      </c>
      <c r="M7" s="14">
        <f>_xlfn.XLOOKUP(Clean_Table[[#This Row],[Specialty]], 'Pivot Tables'!$B$41:$B$46, 'Pivot Tables'!$C$41:$C$46)</f>
        <v>28.718430335097</v>
      </c>
      <c r="N7" s="14">
        <f>(Clean_Table[[#This Row],[Monthly RVUs]]*Clean_Table[[#This Row],[Target Comp per RVU]])*12</f>
        <v>172310.582010582</v>
      </c>
      <c r="O7" s="14">
        <f>Clean_Table[[#This Row],[Total Compensation]]-Clean_Table[[#This Row],[Expected Comp]]</f>
        <v>-6110.5820105820021</v>
      </c>
      <c r="P7" s="26">
        <f>(Clean_Table[[#This Row],[Bonus]]/Clean_Table[[#This Row],[Total Compensation]])*100</f>
        <v>0.72202166064981954</v>
      </c>
    </row>
    <row r="8" spans="1:16" x14ac:dyDescent="0.2">
      <c r="A8" s="4" t="s">
        <v>15</v>
      </c>
      <c r="B8" s="3" t="s">
        <v>30</v>
      </c>
      <c r="C8" s="3" t="s">
        <v>42</v>
      </c>
      <c r="D8" s="3">
        <v>18</v>
      </c>
      <c r="E8" s="3">
        <v>1020</v>
      </c>
      <c r="F8" s="3">
        <v>240</v>
      </c>
      <c r="G8" s="14">
        <v>280000</v>
      </c>
      <c r="H8" s="14">
        <v>8000</v>
      </c>
      <c r="I8" s="14">
        <f t="shared" si="1"/>
        <v>288000</v>
      </c>
      <c r="J8" s="15">
        <f t="shared" si="0"/>
        <v>23.529411764705884</v>
      </c>
      <c r="K8" s="15">
        <f t="shared" si="2"/>
        <v>100</v>
      </c>
      <c r="L8" s="24">
        <f>STANDARDIZE(Clean_Table[[#This Row],[Comp per RVU]], AVERAGE(Clean_Table[Comp per RVU]), _xlfn.STDEV.S(Clean_Table[Comp per RVU]))</f>
        <v>-0.81799000313311709</v>
      </c>
      <c r="M8" s="14">
        <f>_xlfn.XLOOKUP(Clean_Table[[#This Row],[Specialty]], 'Pivot Tables'!$B$41:$B$46, 'Pivot Tables'!$C$41:$C$46)</f>
        <v>23.563175270108044</v>
      </c>
      <c r="N8" s="14">
        <f>(Clean_Table[[#This Row],[Monthly RVUs]]*Clean_Table[[#This Row],[Target Comp per RVU]])*12</f>
        <v>288413.26530612243</v>
      </c>
      <c r="O8" s="14">
        <f>Clean_Table[[#This Row],[Total Compensation]]-Clean_Table[[#This Row],[Expected Comp]]</f>
        <v>-413.26530612242641</v>
      </c>
      <c r="P8" s="26">
        <f>(Clean_Table[[#This Row],[Bonus]]/Clean_Table[[#This Row],[Total Compensation]])*100</f>
        <v>2.7777777777777777</v>
      </c>
    </row>
    <row r="9" spans="1:16" x14ac:dyDescent="0.2">
      <c r="A9" s="4" t="s">
        <v>16</v>
      </c>
      <c r="B9" s="3" t="s">
        <v>31</v>
      </c>
      <c r="C9" s="3" t="s">
        <v>43</v>
      </c>
      <c r="D9" s="3">
        <v>7</v>
      </c>
      <c r="E9" s="3">
        <v>530</v>
      </c>
      <c r="F9" s="3">
        <v>530</v>
      </c>
      <c r="G9" s="14">
        <v>175000</v>
      </c>
      <c r="H9" s="14">
        <v>1800</v>
      </c>
      <c r="I9" s="14">
        <f t="shared" si="1"/>
        <v>176800</v>
      </c>
      <c r="J9" s="15">
        <f t="shared" si="0"/>
        <v>27.79874213836478</v>
      </c>
      <c r="K9" s="15">
        <f t="shared" si="2"/>
        <v>27.79874213836478</v>
      </c>
      <c r="L9" s="24">
        <f>STANDARDIZE(Clean_Table[[#This Row],[Comp per RVU]], AVERAGE(Clean_Table[Comp per RVU]), _xlfn.STDEV.S(Clean_Table[Comp per RVU]))</f>
        <v>0.69206904675112357</v>
      </c>
      <c r="M9" s="14">
        <f>_xlfn.XLOOKUP(Clean_Table[[#This Row],[Specialty]], 'Pivot Tables'!$B$41:$B$46, 'Pivot Tables'!$C$41:$C$46)</f>
        <v>28.646353588605251</v>
      </c>
      <c r="N9" s="14">
        <f>(Clean_Table[[#This Row],[Monthly RVUs]]*Clean_Table[[#This Row],[Target Comp per RVU]])*12</f>
        <v>182190.8088235294</v>
      </c>
      <c r="O9" s="14">
        <f>Clean_Table[[#This Row],[Total Compensation]]-Clean_Table[[#This Row],[Expected Comp]]</f>
        <v>-5390.8088235293981</v>
      </c>
      <c r="P9" s="26">
        <f>(Clean_Table[[#This Row],[Bonus]]/Clean_Table[[#This Row],[Total Compensation]])*100</f>
        <v>1.0180995475113122</v>
      </c>
    </row>
    <row r="10" spans="1:16" x14ac:dyDescent="0.2">
      <c r="A10" s="4" t="s">
        <v>17</v>
      </c>
      <c r="B10" s="3" t="s">
        <v>32</v>
      </c>
      <c r="C10" s="3" t="s">
        <v>41</v>
      </c>
      <c r="D10" s="3">
        <v>11</v>
      </c>
      <c r="E10" s="3">
        <v>870</v>
      </c>
      <c r="F10" s="3">
        <v>255</v>
      </c>
      <c r="G10" s="14">
        <v>240000</v>
      </c>
      <c r="H10" s="14">
        <v>5000</v>
      </c>
      <c r="I10" s="14">
        <f t="shared" si="1"/>
        <v>245000</v>
      </c>
      <c r="J10" s="15">
        <f t="shared" si="0"/>
        <v>23.467432950191572</v>
      </c>
      <c r="K10" s="15">
        <f t="shared" si="2"/>
        <v>80.06535947712419</v>
      </c>
      <c r="L10" s="24">
        <f>STANDARDIZE(Clean_Table[[#This Row],[Comp per RVU]], AVERAGE(Clean_Table[Comp per RVU]), _xlfn.STDEV.S(Clean_Table[Comp per RVU]))</f>
        <v>-0.83991186477584201</v>
      </c>
      <c r="M10" s="14">
        <f>_xlfn.XLOOKUP(Clean_Table[[#This Row],[Specialty]], 'Pivot Tables'!$B$41:$B$46, 'Pivot Tables'!$C$41:$C$46)</f>
        <v>23.455237524396765</v>
      </c>
      <c r="N10" s="14">
        <f>(Clean_Table[[#This Row],[Monthly RVUs]]*Clean_Table[[#This Row],[Target Comp per RVU]])*12</f>
        <v>244872.6797547022</v>
      </c>
      <c r="O10" s="14">
        <f>Clean_Table[[#This Row],[Total Compensation]]-Clean_Table[[#This Row],[Expected Comp]]</f>
        <v>127.32024529780028</v>
      </c>
      <c r="P10" s="26">
        <f>(Clean_Table[[#This Row],[Bonus]]/Clean_Table[[#This Row],[Total Compensation]])*100</f>
        <v>2.0408163265306123</v>
      </c>
    </row>
    <row r="11" spans="1:16" x14ac:dyDescent="0.2">
      <c r="A11" s="4" t="s">
        <v>18</v>
      </c>
      <c r="B11" s="3" t="s">
        <v>33</v>
      </c>
      <c r="C11" s="3" t="s">
        <v>40</v>
      </c>
      <c r="D11" s="3">
        <v>4</v>
      </c>
      <c r="E11" s="3">
        <v>460</v>
      </c>
      <c r="F11" s="3">
        <v>260</v>
      </c>
      <c r="G11" s="14">
        <v>160000</v>
      </c>
      <c r="H11" s="14">
        <v>1000</v>
      </c>
      <c r="I11" s="14">
        <f t="shared" si="1"/>
        <v>161000</v>
      </c>
      <c r="J11" s="15">
        <f t="shared" si="0"/>
        <v>29.166666666666664</v>
      </c>
      <c r="K11" s="15">
        <f t="shared" si="2"/>
        <v>51.602564102564102</v>
      </c>
      <c r="L11" s="24">
        <f>STANDARDIZE(Clean_Table[[#This Row],[Comp per RVU]], AVERAGE(Clean_Table[Comp per RVU]), _xlfn.STDEV.S(Clean_Table[Comp per RVU]))</f>
        <v>1.1759029580983482</v>
      </c>
      <c r="M11" s="14">
        <f>_xlfn.XLOOKUP(Clean_Table[[#This Row],[Specialty]], 'Pivot Tables'!$B$41:$B$46, 'Pivot Tables'!$C$41:$C$46)</f>
        <v>28.718430335097</v>
      </c>
      <c r="N11" s="14">
        <f>(Clean_Table[[#This Row],[Monthly RVUs]]*Clean_Table[[#This Row],[Target Comp per RVU]])*12</f>
        <v>158525.73544973545</v>
      </c>
      <c r="O11" s="14">
        <f>Clean_Table[[#This Row],[Total Compensation]]-Clean_Table[[#This Row],[Expected Comp]]</f>
        <v>2474.2645502645464</v>
      </c>
      <c r="P11" s="26">
        <f>(Clean_Table[[#This Row],[Bonus]]/Clean_Table[[#This Row],[Total Compensation]])*100</f>
        <v>0.6211180124223602</v>
      </c>
    </row>
    <row r="12" spans="1:16" x14ac:dyDescent="0.2">
      <c r="A12" s="4" t="s">
        <v>19</v>
      </c>
      <c r="B12" s="3" t="s">
        <v>34</v>
      </c>
      <c r="C12" s="3" t="s">
        <v>39</v>
      </c>
      <c r="D12" s="3">
        <v>9</v>
      </c>
      <c r="E12" s="3">
        <v>790</v>
      </c>
      <c r="F12" s="3">
        <v>300</v>
      </c>
      <c r="G12" s="14">
        <v>215000</v>
      </c>
      <c r="H12" s="14">
        <v>4000</v>
      </c>
      <c r="I12" s="14">
        <f t="shared" si="1"/>
        <v>219000</v>
      </c>
      <c r="J12" s="15">
        <f t="shared" si="0"/>
        <v>23.101265822784811</v>
      </c>
      <c r="K12" s="15">
        <f t="shared" si="2"/>
        <v>60.833333333333336</v>
      </c>
      <c r="L12" s="24">
        <f>STANDARDIZE(Clean_Table[[#This Row],[Comp per RVU]], AVERAGE(Clean_Table[Comp per RVU]), _xlfn.STDEV.S(Clean_Table[Comp per RVU]))</f>
        <v>-0.96942491158107691</v>
      </c>
      <c r="M12" s="14">
        <f>_xlfn.XLOOKUP(Clean_Table[[#This Row],[Specialty]], 'Pivot Tables'!$B$41:$B$46, 'Pivot Tables'!$C$41:$C$46)</f>
        <v>23.108798064163185</v>
      </c>
      <c r="N12" s="14">
        <f>(Clean_Table[[#This Row],[Monthly RVUs]]*Clean_Table[[#This Row],[Target Comp per RVU]])*12</f>
        <v>219071.40564826701</v>
      </c>
      <c r="O12" s="14">
        <f>Clean_Table[[#This Row],[Total Compensation]]-Clean_Table[[#This Row],[Expected Comp]]</f>
        <v>-71.405648267013021</v>
      </c>
      <c r="P12" s="26">
        <f>(Clean_Table[[#This Row],[Bonus]]/Clean_Table[[#This Row],[Total Compensation]])*100</f>
        <v>1.8264840182648401</v>
      </c>
    </row>
    <row r="13" spans="1:16" x14ac:dyDescent="0.2">
      <c r="A13" s="4" t="s">
        <v>20</v>
      </c>
      <c r="B13" s="3" t="s">
        <v>35</v>
      </c>
      <c r="C13" s="3" t="s">
        <v>42</v>
      </c>
      <c r="D13" s="3">
        <v>14</v>
      </c>
      <c r="E13" s="3">
        <v>980</v>
      </c>
      <c r="F13" s="3">
        <v>230</v>
      </c>
      <c r="G13" s="14">
        <v>270000</v>
      </c>
      <c r="H13" s="14">
        <v>7500</v>
      </c>
      <c r="I13" s="14">
        <f t="shared" si="1"/>
        <v>277500</v>
      </c>
      <c r="J13" s="15">
        <f t="shared" si="0"/>
        <v>23.596938775510203</v>
      </c>
      <c r="K13" s="15">
        <f t="shared" si="2"/>
        <v>100.54347826086956</v>
      </c>
      <c r="L13" s="24">
        <f>STANDARDIZE(Clean_Table[[#This Row],[Comp per RVU]], AVERAGE(Clean_Table[Comp per RVU]), _xlfn.STDEV.S(Clean_Table[Comp per RVU]))</f>
        <v>-0.79410574849547388</v>
      </c>
      <c r="M13" s="14">
        <f>_xlfn.XLOOKUP(Clean_Table[[#This Row],[Specialty]], 'Pivot Tables'!$B$41:$B$46, 'Pivot Tables'!$C$41:$C$46)</f>
        <v>23.563175270108044</v>
      </c>
      <c r="N13" s="14">
        <f>(Clean_Table[[#This Row],[Monthly RVUs]]*Clean_Table[[#This Row],[Target Comp per RVU]])*12</f>
        <v>277102.9411764706</v>
      </c>
      <c r="O13" s="14">
        <f>Clean_Table[[#This Row],[Total Compensation]]-Clean_Table[[#This Row],[Expected Comp]]</f>
        <v>397.05882352939807</v>
      </c>
      <c r="P13" s="26">
        <f>(Clean_Table[[#This Row],[Bonus]]/Clean_Table[[#This Row],[Total Compensation]])*100</f>
        <v>2.7027027027027026</v>
      </c>
    </row>
    <row r="14" spans="1:16" x14ac:dyDescent="0.2">
      <c r="A14" s="4" t="s">
        <v>21</v>
      </c>
      <c r="B14" s="3" t="s">
        <v>36</v>
      </c>
      <c r="C14" s="3" t="s">
        <v>43</v>
      </c>
      <c r="D14" s="3">
        <v>6</v>
      </c>
      <c r="E14" s="3">
        <v>510</v>
      </c>
      <c r="F14" s="3">
        <v>305</v>
      </c>
      <c r="G14" s="14">
        <v>172000</v>
      </c>
      <c r="H14" s="14">
        <v>1600</v>
      </c>
      <c r="I14" s="14">
        <f t="shared" si="1"/>
        <v>173600</v>
      </c>
      <c r="J14" s="15">
        <f t="shared" si="0"/>
        <v>28.366013071895424</v>
      </c>
      <c r="K14" s="15">
        <f t="shared" si="2"/>
        <v>47.431693989071036</v>
      </c>
      <c r="L14" s="24">
        <f>STANDARDIZE(Clean_Table[[#This Row],[Comp per RVU]], AVERAGE(Clean_Table[Comp per RVU]), _xlfn.STDEV.S(Clean_Table[Comp per RVU]))</f>
        <v>0.89271236360460404</v>
      </c>
      <c r="M14" s="14">
        <f>_xlfn.XLOOKUP(Clean_Table[[#This Row],[Specialty]], 'Pivot Tables'!$B$41:$B$46, 'Pivot Tables'!$C$41:$C$46)</f>
        <v>28.646353588605251</v>
      </c>
      <c r="N14" s="14">
        <f>(Clean_Table[[#This Row],[Monthly RVUs]]*Clean_Table[[#This Row],[Target Comp per RVU]])*12</f>
        <v>175315.68396226416</v>
      </c>
      <c r="O14" s="14">
        <f>Clean_Table[[#This Row],[Total Compensation]]-Clean_Table[[#This Row],[Expected Comp]]</f>
        <v>-1715.6839622641564</v>
      </c>
      <c r="P14" s="26">
        <f>(Clean_Table[[#This Row],[Bonus]]/Clean_Table[[#This Row],[Total Compensation]])*100</f>
        <v>0.92165898617511521</v>
      </c>
    </row>
    <row r="15" spans="1:16" x14ac:dyDescent="0.2">
      <c r="A15" s="4" t="s">
        <v>22</v>
      </c>
      <c r="B15" s="3" t="s">
        <v>37</v>
      </c>
      <c r="C15" s="3" t="s">
        <v>41</v>
      </c>
      <c r="D15" s="3">
        <v>13</v>
      </c>
      <c r="E15" s="3">
        <v>890</v>
      </c>
      <c r="F15" s="3">
        <v>250</v>
      </c>
      <c r="G15" s="14">
        <v>245000</v>
      </c>
      <c r="H15" s="14">
        <v>5500</v>
      </c>
      <c r="I15" s="14">
        <f t="shared" si="1"/>
        <v>250500</v>
      </c>
      <c r="J15" s="15">
        <f t="shared" si="0"/>
        <v>23.45505617977528</v>
      </c>
      <c r="K15" s="15">
        <f t="shared" si="2"/>
        <v>83.5</v>
      </c>
      <c r="L15" s="24">
        <f>STANDARDIZE(Clean_Table[[#This Row],[Comp per RVU]], AVERAGE(Clean_Table[Comp per RVU]), _xlfn.STDEV.S(Clean_Table[Comp per RVU]))</f>
        <v>-0.84428951947569231</v>
      </c>
      <c r="M15" s="14">
        <f>_xlfn.XLOOKUP(Clean_Table[[#This Row],[Specialty]], 'Pivot Tables'!$B$41:$B$46, 'Pivot Tables'!$C$41:$C$46)</f>
        <v>23.455237524396765</v>
      </c>
      <c r="N15" s="14">
        <f>(Clean_Table[[#This Row],[Monthly RVUs]]*Clean_Table[[#This Row],[Target Comp per RVU]])*12</f>
        <v>250501.93676055744</v>
      </c>
      <c r="O15" s="14">
        <f>Clean_Table[[#This Row],[Total Compensation]]-Clean_Table[[#This Row],[Expected Comp]]</f>
        <v>-1.9367605574370828</v>
      </c>
      <c r="P15" s="26">
        <f>(Clean_Table[[#This Row],[Bonus]]/Clean_Table[[#This Row],[Total Compensation]])*100</f>
        <v>2.19560878243513</v>
      </c>
    </row>
    <row r="16" spans="1:16" x14ac:dyDescent="0.2">
      <c r="A16" s="8" t="s">
        <v>23</v>
      </c>
      <c r="B16" s="9" t="s">
        <v>38</v>
      </c>
      <c r="C16" s="9" t="s">
        <v>40</v>
      </c>
      <c r="D16" s="9">
        <v>3</v>
      </c>
      <c r="E16" s="9">
        <v>420</v>
      </c>
      <c r="F16" s="9">
        <v>240</v>
      </c>
      <c r="G16" s="16">
        <v>150000</v>
      </c>
      <c r="H16" s="16">
        <v>800</v>
      </c>
      <c r="I16" s="16">
        <f t="shared" si="1"/>
        <v>150800</v>
      </c>
      <c r="J16" s="17">
        <f t="shared" si="0"/>
        <v>29.920634920634921</v>
      </c>
      <c r="K16" s="17">
        <f t="shared" si="2"/>
        <v>52.361111111111107</v>
      </c>
      <c r="L16" s="25">
        <f>STANDARDIZE(Clean_Table[[#This Row],[Comp per RVU]], AVERAGE(Clean_Table[Comp per RVU]), _xlfn.STDEV.S(Clean_Table[Comp per RVU]))</f>
        <v>1.4425809814845867</v>
      </c>
      <c r="M16" s="16">
        <f>_xlfn.XLOOKUP(Clean_Table[[#This Row],[Specialty]], 'Pivot Tables'!$B$41:$B$46, 'Pivot Tables'!$C$41:$C$46)</f>
        <v>28.718430335097</v>
      </c>
      <c r="N16" s="16">
        <f>(Clean_Table[[#This Row],[Monthly RVUs]]*Clean_Table[[#This Row],[Target Comp per RVU]])*12</f>
        <v>144740.88888888888</v>
      </c>
      <c r="O16" s="14">
        <f>Clean_Table[[#This Row],[Total Compensation]]-Clean_Table[[#This Row],[Expected Comp]]</f>
        <v>6059.111111111124</v>
      </c>
      <c r="P16" s="26">
        <f>(Clean_Table[[#This Row],[Bonus]]/Clean_Table[[#This Row],[Total Compensation]])*100</f>
        <v>0.53050397877984079</v>
      </c>
    </row>
    <row r="17" spans="12:12" x14ac:dyDescent="0.2">
      <c r="L17" s="22"/>
    </row>
  </sheetData>
  <sheetProtection sheet="1" objects="1" scenarios="1"/>
  <conditionalFormatting sqref="J2:J1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1383-FA7C-E44B-AE3C-EAB0D4E9A9FB}">
  <dimension ref="A6:I155"/>
  <sheetViews>
    <sheetView showGridLines="0" zoomScale="116" zoomScaleNormal="116" workbookViewId="0">
      <selection activeCell="G101" sqref="G101"/>
    </sheetView>
  </sheetViews>
  <sheetFormatPr baseColWidth="10" defaultRowHeight="16" x14ac:dyDescent="0.2"/>
  <cols>
    <col min="1" max="1" width="13" bestFit="1" customWidth="1"/>
    <col min="2" max="2" width="24.6640625" bestFit="1" customWidth="1"/>
    <col min="3" max="3" width="24" bestFit="1" customWidth="1"/>
    <col min="4" max="4" width="15.83203125" bestFit="1" customWidth="1"/>
    <col min="5" max="5" width="14.6640625" bestFit="1" customWidth="1"/>
    <col min="6" max="6" width="14.1640625" bestFit="1" customWidth="1"/>
    <col min="7" max="7" width="22.5" bestFit="1" customWidth="1"/>
    <col min="8" max="8" width="24" bestFit="1" customWidth="1"/>
    <col min="9" max="22" width="12.5" bestFit="1" customWidth="1"/>
    <col min="23" max="23" width="14" bestFit="1" customWidth="1"/>
    <col min="24" max="24" width="27.1640625" bestFit="1" customWidth="1"/>
    <col min="25" max="25" width="31.5" bestFit="1" customWidth="1"/>
  </cols>
  <sheetData>
    <row r="6" spans="1:6" x14ac:dyDescent="0.2">
      <c r="A6" s="18"/>
      <c r="B6" s="18"/>
      <c r="C6" s="18"/>
      <c r="D6" s="18"/>
    </row>
    <row r="7" spans="1:6" x14ac:dyDescent="0.2">
      <c r="A7" s="18"/>
      <c r="B7" s="18"/>
      <c r="C7" s="18"/>
      <c r="D7" s="18"/>
    </row>
    <row r="9" spans="1:6" x14ac:dyDescent="0.2">
      <c r="B9" s="10" t="s">
        <v>4</v>
      </c>
      <c r="C9" t="s">
        <v>47</v>
      </c>
      <c r="E9" s="10" t="s">
        <v>4</v>
      </c>
      <c r="F9" t="s">
        <v>63</v>
      </c>
    </row>
    <row r="10" spans="1:6" x14ac:dyDescent="0.2">
      <c r="B10" s="11">
        <v>420</v>
      </c>
      <c r="C10" s="13">
        <v>150800</v>
      </c>
      <c r="E10" s="11" t="s">
        <v>29</v>
      </c>
      <c r="F10" s="13">
        <v>-6110.5820105820021</v>
      </c>
    </row>
    <row r="11" spans="1:6" x14ac:dyDescent="0.2">
      <c r="B11" s="11">
        <v>460</v>
      </c>
      <c r="C11" s="13">
        <v>161000</v>
      </c>
      <c r="E11" s="11" t="s">
        <v>31</v>
      </c>
      <c r="F11" s="13">
        <v>-5390.8088235293981</v>
      </c>
    </row>
    <row r="12" spans="1:6" x14ac:dyDescent="0.2">
      <c r="B12" s="11">
        <v>500</v>
      </c>
      <c r="C12" s="13">
        <v>166200</v>
      </c>
      <c r="E12" s="11" t="s">
        <v>25</v>
      </c>
      <c r="F12" s="13">
        <v>-4095.4285714285506</v>
      </c>
    </row>
    <row r="13" spans="1:6" x14ac:dyDescent="0.2">
      <c r="B13" s="11">
        <v>480</v>
      </c>
      <c r="C13" s="13">
        <v>171500</v>
      </c>
      <c r="E13" s="11" t="s">
        <v>24</v>
      </c>
      <c r="F13" s="13">
        <v>-2890.5729513657279</v>
      </c>
    </row>
    <row r="14" spans="1:6" x14ac:dyDescent="0.2">
      <c r="B14" s="11">
        <v>510</v>
      </c>
      <c r="C14" s="13">
        <v>173600</v>
      </c>
      <c r="E14" s="11" t="s">
        <v>36</v>
      </c>
      <c r="F14" s="13">
        <v>-1715.6839622641564</v>
      </c>
    </row>
    <row r="15" spans="1:6" x14ac:dyDescent="0.2">
      <c r="B15" s="11">
        <v>530</v>
      </c>
      <c r="C15" s="13">
        <v>176800</v>
      </c>
      <c r="E15" s="11" t="s">
        <v>30</v>
      </c>
      <c r="F15" s="13">
        <v>-413.26530612242641</v>
      </c>
    </row>
    <row r="16" spans="1:6" x14ac:dyDescent="0.2">
      <c r="B16" s="11">
        <v>540</v>
      </c>
      <c r="C16" s="13">
        <v>182000</v>
      </c>
      <c r="E16" s="11" t="s">
        <v>26</v>
      </c>
      <c r="F16" s="13">
        <v>-131.19376641267445</v>
      </c>
    </row>
    <row r="17" spans="2:6" x14ac:dyDescent="0.2">
      <c r="B17" s="11">
        <v>760</v>
      </c>
      <c r="C17" s="13">
        <v>213500</v>
      </c>
      <c r="E17" s="11" t="s">
        <v>34</v>
      </c>
      <c r="F17" s="13">
        <v>-71.405648267013021</v>
      </c>
    </row>
    <row r="18" spans="2:6" x14ac:dyDescent="0.2">
      <c r="B18" s="11">
        <v>790</v>
      </c>
      <c r="C18" s="13">
        <v>219000</v>
      </c>
      <c r="E18" s="11" t="s">
        <v>37</v>
      </c>
      <c r="F18" s="13">
        <v>-1.9367605574370828</v>
      </c>
    </row>
    <row r="19" spans="2:6" x14ac:dyDescent="0.2">
      <c r="B19" s="11">
        <v>820</v>
      </c>
      <c r="C19" s="13">
        <v>224500</v>
      </c>
      <c r="E19" s="11" t="s">
        <v>32</v>
      </c>
      <c r="F19" s="13">
        <v>127.32024529780028</v>
      </c>
    </row>
    <row r="20" spans="2:6" x14ac:dyDescent="0.2">
      <c r="B20" s="11">
        <v>870</v>
      </c>
      <c r="C20" s="13">
        <v>245000</v>
      </c>
      <c r="E20" s="11" t="s">
        <v>35</v>
      </c>
      <c r="F20" s="13">
        <v>397.05882352939807</v>
      </c>
    </row>
    <row r="21" spans="2:6" x14ac:dyDescent="0.2">
      <c r="B21" s="11">
        <v>890</v>
      </c>
      <c r="C21" s="13">
        <v>250500</v>
      </c>
      <c r="E21" s="11" t="s">
        <v>33</v>
      </c>
      <c r="F21" s="13">
        <v>2474.2645502645464</v>
      </c>
    </row>
    <row r="22" spans="2:6" x14ac:dyDescent="0.2">
      <c r="B22" s="11">
        <v>910</v>
      </c>
      <c r="C22" s="13">
        <v>256000</v>
      </c>
      <c r="E22" s="11" t="s">
        <v>28</v>
      </c>
      <c r="F22" s="13">
        <v>2747.7616548317601</v>
      </c>
    </row>
    <row r="23" spans="2:6" x14ac:dyDescent="0.2">
      <c r="B23" s="11">
        <v>980</v>
      </c>
      <c r="C23" s="13">
        <v>277500</v>
      </c>
      <c r="E23" s="11" t="s">
        <v>38</v>
      </c>
      <c r="F23" s="13">
        <v>6059.111111111124</v>
      </c>
    </row>
    <row r="24" spans="2:6" x14ac:dyDescent="0.2">
      <c r="B24" s="11">
        <v>1020</v>
      </c>
      <c r="C24" s="13">
        <v>288000</v>
      </c>
      <c r="E24" s="11" t="s">
        <v>27</v>
      </c>
      <c r="F24" s="13">
        <v>6497.0033296337642</v>
      </c>
    </row>
    <row r="25" spans="2:6" x14ac:dyDescent="0.2">
      <c r="B25" s="11" t="s">
        <v>46</v>
      </c>
      <c r="C25" s="13">
        <v>3155900</v>
      </c>
      <c r="E25" s="11" t="s">
        <v>46</v>
      </c>
      <c r="F25" s="13">
        <v>-2518.358085860993</v>
      </c>
    </row>
    <row r="32" spans="2:6" x14ac:dyDescent="0.2">
      <c r="B32" s="10" t="s">
        <v>2</v>
      </c>
      <c r="C32" t="s">
        <v>48</v>
      </c>
      <c r="E32" s="10" t="s">
        <v>58</v>
      </c>
      <c r="F32" t="s">
        <v>50</v>
      </c>
    </row>
    <row r="33" spans="2:6" x14ac:dyDescent="0.2">
      <c r="B33" s="11" t="s">
        <v>42</v>
      </c>
      <c r="C33" s="12">
        <v>1000</v>
      </c>
      <c r="E33" s="11" t="s">
        <v>42</v>
      </c>
      <c r="F33" s="13">
        <v>100.27173913043478</v>
      </c>
    </row>
    <row r="34" spans="2:6" x14ac:dyDescent="0.2">
      <c r="B34" s="11" t="s">
        <v>41</v>
      </c>
      <c r="C34" s="12">
        <v>890</v>
      </c>
      <c r="E34" s="20" t="s">
        <v>30</v>
      </c>
      <c r="F34" s="13">
        <v>100</v>
      </c>
    </row>
    <row r="35" spans="2:6" x14ac:dyDescent="0.2">
      <c r="B35" s="11" t="s">
        <v>39</v>
      </c>
      <c r="C35" s="12">
        <v>790</v>
      </c>
      <c r="E35" s="20" t="s">
        <v>35</v>
      </c>
      <c r="F35" s="13">
        <v>100.54347826086956</v>
      </c>
    </row>
    <row r="36" spans="2:6" x14ac:dyDescent="0.2">
      <c r="B36" s="11" t="s">
        <v>43</v>
      </c>
      <c r="C36" s="12">
        <v>506.66666666666669</v>
      </c>
      <c r="E36" s="11" t="s">
        <v>41</v>
      </c>
      <c r="F36" s="13">
        <v>81.872213842802083</v>
      </c>
    </row>
    <row r="37" spans="2:6" x14ac:dyDescent="0.2">
      <c r="B37" s="11" t="s">
        <v>40</v>
      </c>
      <c r="C37" s="12">
        <v>480</v>
      </c>
      <c r="E37" s="20" t="s">
        <v>37</v>
      </c>
      <c r="F37" s="13">
        <v>83.5</v>
      </c>
    </row>
    <row r="38" spans="2:6" x14ac:dyDescent="0.2">
      <c r="B38" s="11" t="s">
        <v>46</v>
      </c>
      <c r="C38" s="12">
        <v>698.66666666666663</v>
      </c>
      <c r="E38" s="20" t="s">
        <v>32</v>
      </c>
      <c r="F38" s="13">
        <v>80.06535947712419</v>
      </c>
    </row>
    <row r="39" spans="2:6" x14ac:dyDescent="0.2">
      <c r="E39" s="20" t="s">
        <v>26</v>
      </c>
      <c r="F39" s="13">
        <v>82.051282051282044</v>
      </c>
    </row>
    <row r="40" spans="2:6" x14ac:dyDescent="0.2">
      <c r="E40" s="11" t="s">
        <v>39</v>
      </c>
      <c r="F40" s="13">
        <v>60.497843387400529</v>
      </c>
    </row>
    <row r="41" spans="2:6" x14ac:dyDescent="0.2">
      <c r="B41" s="10" t="s">
        <v>2</v>
      </c>
      <c r="C41" t="s">
        <v>51</v>
      </c>
      <c r="E41" s="20" t="s">
        <v>28</v>
      </c>
      <c r="F41" s="13">
        <v>60.310734463276837</v>
      </c>
    </row>
    <row r="42" spans="2:6" x14ac:dyDescent="0.2">
      <c r="B42" s="11" t="s">
        <v>40</v>
      </c>
      <c r="C42" s="13">
        <v>28.718430335097</v>
      </c>
      <c r="E42" s="20" t="s">
        <v>34</v>
      </c>
      <c r="F42" s="13">
        <v>60.833333333333336</v>
      </c>
    </row>
    <row r="43" spans="2:6" x14ac:dyDescent="0.2">
      <c r="B43" s="11" t="s">
        <v>43</v>
      </c>
      <c r="C43" s="13">
        <v>28.646353588605251</v>
      </c>
      <c r="D43" s="13"/>
      <c r="E43" s="20" t="s">
        <v>24</v>
      </c>
      <c r="F43" s="13">
        <v>60.349462365591393</v>
      </c>
    </row>
    <row r="44" spans="2:6" x14ac:dyDescent="0.2">
      <c r="B44" s="11" t="s">
        <v>42</v>
      </c>
      <c r="C44" s="13">
        <v>23.563175270108044</v>
      </c>
      <c r="E44" s="11" t="s">
        <v>40</v>
      </c>
      <c r="F44" s="13">
        <v>52.356659544159548</v>
      </c>
    </row>
    <row r="45" spans="2:6" x14ac:dyDescent="0.2">
      <c r="B45" s="11" t="s">
        <v>41</v>
      </c>
      <c r="C45" s="13">
        <v>23.455237524396765</v>
      </c>
      <c r="E45" s="20" t="s">
        <v>33</v>
      </c>
      <c r="F45" s="13">
        <v>51.602564102564102</v>
      </c>
    </row>
    <row r="46" spans="2:6" x14ac:dyDescent="0.2">
      <c r="B46" s="11" t="s">
        <v>39</v>
      </c>
      <c r="C46" s="13">
        <v>23.108798064163185</v>
      </c>
      <c r="E46" s="20" t="s">
        <v>25</v>
      </c>
      <c r="F46" s="13">
        <v>54.166666666666664</v>
      </c>
    </row>
    <row r="47" spans="2:6" x14ac:dyDescent="0.2">
      <c r="B47" s="11" t="s">
        <v>46</v>
      </c>
      <c r="C47" s="13">
        <v>25.84208262747331</v>
      </c>
      <c r="E47" s="20" t="s">
        <v>29</v>
      </c>
      <c r="F47" s="13">
        <v>51.296296296296298</v>
      </c>
    </row>
    <row r="48" spans="2:6" x14ac:dyDescent="0.2">
      <c r="E48" s="20" t="s">
        <v>38</v>
      </c>
      <c r="F48" s="13">
        <v>52.361111111111107</v>
      </c>
    </row>
    <row r="49" spans="2:6" x14ac:dyDescent="0.2">
      <c r="E49" s="11" t="s">
        <v>43</v>
      </c>
      <c r="F49" s="13">
        <v>40.956441672108234</v>
      </c>
    </row>
    <row r="50" spans="2:6" x14ac:dyDescent="0.2">
      <c r="E50" s="20" t="s">
        <v>27</v>
      </c>
      <c r="F50" s="13">
        <v>47.638888888888886</v>
      </c>
    </row>
    <row r="51" spans="2:6" x14ac:dyDescent="0.2">
      <c r="B51" s="10" t="s">
        <v>2</v>
      </c>
      <c r="C51" t="s">
        <v>49</v>
      </c>
      <c r="E51" s="20" t="s">
        <v>31</v>
      </c>
      <c r="F51" s="13">
        <v>27.79874213836478</v>
      </c>
    </row>
    <row r="52" spans="2:6" x14ac:dyDescent="0.2">
      <c r="B52" s="11" t="s">
        <v>42</v>
      </c>
      <c r="C52" s="13">
        <v>282750</v>
      </c>
      <c r="E52" s="20" t="s">
        <v>36</v>
      </c>
      <c r="F52" s="13">
        <v>47.431693989071036</v>
      </c>
    </row>
    <row r="53" spans="2:6" x14ac:dyDescent="0.2">
      <c r="B53" s="11" t="s">
        <v>41</v>
      </c>
      <c r="C53" s="13">
        <v>250500</v>
      </c>
      <c r="E53" s="11" t="s">
        <v>46</v>
      </c>
      <c r="F53" s="13">
        <v>63.996640876296027</v>
      </c>
    </row>
    <row r="54" spans="2:6" x14ac:dyDescent="0.2">
      <c r="B54" s="11" t="s">
        <v>39</v>
      </c>
      <c r="C54" s="13">
        <v>219000</v>
      </c>
    </row>
    <row r="55" spans="2:6" x14ac:dyDescent="0.2">
      <c r="B55" s="11" t="s">
        <v>43</v>
      </c>
      <c r="C55" s="13">
        <v>173966.66666666666</v>
      </c>
    </row>
    <row r="56" spans="2:6" x14ac:dyDescent="0.2">
      <c r="B56" s="11" t="s">
        <v>40</v>
      </c>
      <c r="C56" s="13">
        <v>165000</v>
      </c>
    </row>
    <row r="57" spans="2:6" x14ac:dyDescent="0.2">
      <c r="B57" s="11" t="s">
        <v>46</v>
      </c>
      <c r="C57" s="13">
        <v>210393.33333333334</v>
      </c>
    </row>
    <row r="65" spans="2:9" x14ac:dyDescent="0.2">
      <c r="B65" s="10" t="s">
        <v>1</v>
      </c>
      <c r="C65" t="s">
        <v>47</v>
      </c>
      <c r="E65" s="10" t="s">
        <v>1</v>
      </c>
      <c r="F65" t="s">
        <v>52</v>
      </c>
      <c r="G65" t="s">
        <v>53</v>
      </c>
      <c r="H65" t="s">
        <v>47</v>
      </c>
    </row>
    <row r="66" spans="2:9" x14ac:dyDescent="0.2">
      <c r="B66" s="11" t="s">
        <v>38</v>
      </c>
      <c r="C66" s="13">
        <v>150800</v>
      </c>
      <c r="E66" s="11" t="s">
        <v>38</v>
      </c>
      <c r="F66" s="13">
        <v>150000</v>
      </c>
      <c r="G66" s="13">
        <v>800</v>
      </c>
      <c r="H66" s="13">
        <v>150800</v>
      </c>
    </row>
    <row r="67" spans="2:9" x14ac:dyDescent="0.2">
      <c r="B67" s="11" t="s">
        <v>33</v>
      </c>
      <c r="C67" s="13">
        <v>161000</v>
      </c>
      <c r="E67" s="11" t="s">
        <v>33</v>
      </c>
      <c r="F67" s="13">
        <v>160000</v>
      </c>
      <c r="G67" s="13">
        <v>1000</v>
      </c>
      <c r="H67" s="13">
        <v>161000</v>
      </c>
    </row>
    <row r="68" spans="2:9" x14ac:dyDescent="0.2">
      <c r="B68" s="11" t="s">
        <v>29</v>
      </c>
      <c r="C68" s="13">
        <v>166200</v>
      </c>
      <c r="E68" s="11" t="s">
        <v>29</v>
      </c>
      <c r="F68" s="13">
        <v>165000</v>
      </c>
      <c r="G68" s="13">
        <v>1200</v>
      </c>
      <c r="H68" s="13">
        <v>166200</v>
      </c>
    </row>
    <row r="69" spans="2:9" x14ac:dyDescent="0.2">
      <c r="B69" s="11" t="s">
        <v>27</v>
      </c>
      <c r="C69" s="13">
        <v>171500</v>
      </c>
      <c r="E69" s="11" t="s">
        <v>27</v>
      </c>
      <c r="F69" s="13">
        <v>170000</v>
      </c>
      <c r="G69" s="13">
        <v>1500</v>
      </c>
      <c r="H69" s="13">
        <v>171500</v>
      </c>
    </row>
    <row r="70" spans="2:9" x14ac:dyDescent="0.2">
      <c r="B70" s="11" t="s">
        <v>36</v>
      </c>
      <c r="C70" s="13">
        <v>173600</v>
      </c>
      <c r="E70" s="11" t="s">
        <v>36</v>
      </c>
      <c r="F70" s="13">
        <v>172000</v>
      </c>
      <c r="G70" s="13">
        <v>1600</v>
      </c>
      <c r="H70" s="13">
        <v>173600</v>
      </c>
    </row>
    <row r="71" spans="2:9" x14ac:dyDescent="0.2">
      <c r="B71" s="11" t="s">
        <v>31</v>
      </c>
      <c r="C71" s="13">
        <v>176800</v>
      </c>
      <c r="E71" s="11" t="s">
        <v>31</v>
      </c>
      <c r="F71" s="13">
        <v>175000</v>
      </c>
      <c r="G71" s="13">
        <v>1800</v>
      </c>
      <c r="H71" s="13">
        <v>176800</v>
      </c>
    </row>
    <row r="72" spans="2:9" x14ac:dyDescent="0.2">
      <c r="B72" s="11" t="s">
        <v>25</v>
      </c>
      <c r="C72" s="13">
        <v>182000</v>
      </c>
      <c r="E72" s="11" t="s">
        <v>25</v>
      </c>
      <c r="F72" s="13">
        <v>180000</v>
      </c>
      <c r="G72" s="13">
        <v>2000</v>
      </c>
      <c r="H72" s="13">
        <v>182000</v>
      </c>
    </row>
    <row r="73" spans="2:9" x14ac:dyDescent="0.2">
      <c r="B73" s="11" t="s">
        <v>28</v>
      </c>
      <c r="C73" s="13">
        <v>213500</v>
      </c>
      <c r="E73" s="11" t="s">
        <v>28</v>
      </c>
      <c r="F73" s="13">
        <v>210000</v>
      </c>
      <c r="G73" s="13">
        <v>3500</v>
      </c>
      <c r="H73" s="13">
        <v>213500</v>
      </c>
    </row>
    <row r="74" spans="2:9" x14ac:dyDescent="0.2">
      <c r="B74" s="11" t="s">
        <v>34</v>
      </c>
      <c r="C74" s="13">
        <v>219000</v>
      </c>
      <c r="E74" s="11" t="s">
        <v>34</v>
      </c>
      <c r="F74" s="13">
        <v>215000</v>
      </c>
      <c r="G74" s="13">
        <v>4000</v>
      </c>
      <c r="H74" s="13">
        <v>219000</v>
      </c>
    </row>
    <row r="75" spans="2:9" x14ac:dyDescent="0.2">
      <c r="B75" s="11" t="s">
        <v>24</v>
      </c>
      <c r="C75" s="13">
        <v>224500</v>
      </c>
      <c r="E75" s="11" t="s">
        <v>24</v>
      </c>
      <c r="F75" s="13">
        <v>220000</v>
      </c>
      <c r="G75" s="13">
        <v>4500</v>
      </c>
      <c r="H75" s="13">
        <v>224500</v>
      </c>
    </row>
    <row r="76" spans="2:9" x14ac:dyDescent="0.2">
      <c r="B76" s="11" t="s">
        <v>32</v>
      </c>
      <c r="C76" s="13">
        <v>245000</v>
      </c>
      <c r="E76" s="11" t="s">
        <v>32</v>
      </c>
      <c r="F76" s="13">
        <v>240000</v>
      </c>
      <c r="G76" s="13">
        <v>5000</v>
      </c>
      <c r="H76" s="13">
        <v>245000</v>
      </c>
    </row>
    <row r="77" spans="2:9" x14ac:dyDescent="0.2">
      <c r="B77" s="11" t="s">
        <v>37</v>
      </c>
      <c r="C77" s="13">
        <v>250500</v>
      </c>
      <c r="E77" s="11" t="s">
        <v>37</v>
      </c>
      <c r="F77" s="13">
        <v>245000</v>
      </c>
      <c r="G77" s="13">
        <v>5500</v>
      </c>
      <c r="H77" s="13">
        <v>250500</v>
      </c>
    </row>
    <row r="78" spans="2:9" x14ac:dyDescent="0.2">
      <c r="B78" s="11" t="s">
        <v>26</v>
      </c>
      <c r="C78" s="13">
        <v>256000</v>
      </c>
      <c r="E78" s="11" t="s">
        <v>26</v>
      </c>
      <c r="F78" s="13">
        <v>250000</v>
      </c>
      <c r="G78" s="13">
        <v>6000</v>
      </c>
      <c r="H78" s="13">
        <v>256000</v>
      </c>
    </row>
    <row r="79" spans="2:9" x14ac:dyDescent="0.2">
      <c r="B79" s="11" t="s">
        <v>35</v>
      </c>
      <c r="C79" s="13">
        <v>277500</v>
      </c>
      <c r="E79" s="11" t="s">
        <v>35</v>
      </c>
      <c r="F79" s="13">
        <v>270000</v>
      </c>
      <c r="G79" s="13">
        <v>7500</v>
      </c>
      <c r="H79" s="13">
        <v>277500</v>
      </c>
      <c r="I79" s="2"/>
    </row>
    <row r="80" spans="2:9" x14ac:dyDescent="0.2">
      <c r="B80" s="11" t="s">
        <v>30</v>
      </c>
      <c r="C80" s="13">
        <v>288000</v>
      </c>
      <c r="E80" s="11" t="s">
        <v>30</v>
      </c>
      <c r="F80" s="13">
        <v>280000</v>
      </c>
      <c r="G80" s="13">
        <v>8000</v>
      </c>
      <c r="H80" s="13">
        <v>288000</v>
      </c>
    </row>
    <row r="81" spans="2:8" x14ac:dyDescent="0.2">
      <c r="B81" s="11" t="s">
        <v>46</v>
      </c>
      <c r="C81" s="13">
        <v>3155900</v>
      </c>
      <c r="E81" s="11" t="s">
        <v>46</v>
      </c>
      <c r="F81" s="13">
        <v>3102000</v>
      </c>
      <c r="G81" s="13">
        <v>53900</v>
      </c>
      <c r="H81" s="13">
        <v>3155900</v>
      </c>
    </row>
    <row r="83" spans="2:8" x14ac:dyDescent="0.2">
      <c r="G83" t="s">
        <v>48</v>
      </c>
    </row>
    <row r="84" spans="2:8" x14ac:dyDescent="0.2">
      <c r="B84" t="s">
        <v>56</v>
      </c>
      <c r="D84" s="10" t="s">
        <v>1</v>
      </c>
      <c r="E84" t="s">
        <v>54</v>
      </c>
      <c r="G84" s="12">
        <v>698.66666666666663</v>
      </c>
    </row>
    <row r="85" spans="2:8" x14ac:dyDescent="0.2">
      <c r="B85">
        <v>15</v>
      </c>
      <c r="D85" s="11" t="s">
        <v>38</v>
      </c>
      <c r="E85">
        <v>420</v>
      </c>
    </row>
    <row r="86" spans="2:8" x14ac:dyDescent="0.2">
      <c r="D86" s="11" t="s">
        <v>33</v>
      </c>
      <c r="E86">
        <v>460</v>
      </c>
    </row>
    <row r="87" spans="2:8" x14ac:dyDescent="0.2">
      <c r="B87" t="s">
        <v>50</v>
      </c>
      <c r="D87" s="11" t="s">
        <v>27</v>
      </c>
      <c r="E87">
        <v>480</v>
      </c>
      <c r="G87" t="s">
        <v>51</v>
      </c>
    </row>
    <row r="88" spans="2:8" x14ac:dyDescent="0.2">
      <c r="B88" s="2">
        <v>63.996640876296013</v>
      </c>
      <c r="D88" s="11" t="s">
        <v>29</v>
      </c>
      <c r="E88">
        <v>500</v>
      </c>
      <c r="G88" s="2">
        <v>25.842082627473314</v>
      </c>
    </row>
    <row r="89" spans="2:8" x14ac:dyDescent="0.2">
      <c r="D89" s="11" t="s">
        <v>36</v>
      </c>
      <c r="E89">
        <v>510</v>
      </c>
    </row>
    <row r="90" spans="2:8" x14ac:dyDescent="0.2">
      <c r="D90" s="11" t="s">
        <v>31</v>
      </c>
      <c r="E90">
        <v>530</v>
      </c>
    </row>
    <row r="91" spans="2:8" x14ac:dyDescent="0.2">
      <c r="B91" t="s">
        <v>47</v>
      </c>
      <c r="D91" s="11" t="s">
        <v>25</v>
      </c>
      <c r="E91">
        <v>540</v>
      </c>
    </row>
    <row r="92" spans="2:8" x14ac:dyDescent="0.2">
      <c r="B92" s="2">
        <v>3155900</v>
      </c>
      <c r="D92" s="11" t="s">
        <v>28</v>
      </c>
      <c r="E92">
        <v>760</v>
      </c>
    </row>
    <row r="93" spans="2:8" x14ac:dyDescent="0.2">
      <c r="D93" s="11" t="s">
        <v>34</v>
      </c>
      <c r="E93">
        <v>790</v>
      </c>
    </row>
    <row r="94" spans="2:8" x14ac:dyDescent="0.2">
      <c r="D94" s="11" t="s">
        <v>24</v>
      </c>
      <c r="E94">
        <v>820</v>
      </c>
    </row>
    <row r="95" spans="2:8" x14ac:dyDescent="0.2">
      <c r="B95" t="s">
        <v>55</v>
      </c>
      <c r="D95" s="11" t="s">
        <v>32</v>
      </c>
      <c r="E95">
        <v>870</v>
      </c>
    </row>
    <row r="96" spans="2:8" x14ac:dyDescent="0.2">
      <c r="B96">
        <v>9.4</v>
      </c>
      <c r="D96" s="11" t="s">
        <v>37</v>
      </c>
      <c r="E96">
        <v>890</v>
      </c>
    </row>
    <row r="97" spans="2:5" x14ac:dyDescent="0.2">
      <c r="D97" s="11" t="s">
        <v>26</v>
      </c>
      <c r="E97">
        <v>910</v>
      </c>
    </row>
    <row r="98" spans="2:5" x14ac:dyDescent="0.2">
      <c r="D98" s="11" t="s">
        <v>35</v>
      </c>
      <c r="E98">
        <v>980</v>
      </c>
    </row>
    <row r="99" spans="2:5" x14ac:dyDescent="0.2">
      <c r="D99" s="11" t="s">
        <v>30</v>
      </c>
      <c r="E99">
        <v>1020</v>
      </c>
    </row>
    <row r="100" spans="2:5" x14ac:dyDescent="0.2">
      <c r="D100" s="11" t="s">
        <v>46</v>
      </c>
      <c r="E100">
        <v>10480</v>
      </c>
    </row>
    <row r="107" spans="2:5" x14ac:dyDescent="0.2">
      <c r="B107" s="10" t="s">
        <v>2</v>
      </c>
      <c r="C107" t="s">
        <v>57</v>
      </c>
    </row>
    <row r="108" spans="2:5" x14ac:dyDescent="0.2">
      <c r="B108" s="11" t="s">
        <v>42</v>
      </c>
      <c r="C108" s="19">
        <v>0.17918818720491778</v>
      </c>
    </row>
    <row r="109" spans="2:5" x14ac:dyDescent="0.2">
      <c r="B109" s="11" t="s">
        <v>40</v>
      </c>
      <c r="C109" s="19">
        <v>0.20913210177762287</v>
      </c>
    </row>
    <row r="110" spans="2:5" x14ac:dyDescent="0.2">
      <c r="B110" s="11" t="s">
        <v>43</v>
      </c>
      <c r="C110" s="19">
        <v>0.16537279381475967</v>
      </c>
    </row>
    <row r="111" spans="2:5" x14ac:dyDescent="0.2">
      <c r="B111" s="11" t="s">
        <v>41</v>
      </c>
      <c r="C111" s="19">
        <v>0.23812541588770239</v>
      </c>
    </row>
    <row r="112" spans="2:5" x14ac:dyDescent="0.2">
      <c r="B112" s="11" t="s">
        <v>39</v>
      </c>
      <c r="C112" s="19">
        <v>0.2081815013149973</v>
      </c>
    </row>
    <row r="113" spans="2:6" x14ac:dyDescent="0.2">
      <c r="B113" s="11" t="s">
        <v>46</v>
      </c>
      <c r="C113" s="19">
        <v>1</v>
      </c>
    </row>
    <row r="128" spans="2:6" x14ac:dyDescent="0.2">
      <c r="F128" s="13"/>
    </row>
    <row r="133" spans="6:6" x14ac:dyDescent="0.2">
      <c r="F133" s="13"/>
    </row>
    <row r="137" spans="6:6" x14ac:dyDescent="0.2">
      <c r="F137" s="13"/>
    </row>
    <row r="138" spans="6:6" x14ac:dyDescent="0.2">
      <c r="F138" s="13"/>
    </row>
    <row r="139" spans="6:6" x14ac:dyDescent="0.2">
      <c r="F139" s="13"/>
    </row>
    <row r="140" spans="6:6" x14ac:dyDescent="0.2">
      <c r="F140" s="13"/>
    </row>
    <row r="142" spans="6:6" x14ac:dyDescent="0.2">
      <c r="F142" s="13"/>
    </row>
    <row r="144" spans="6:6" x14ac:dyDescent="0.2">
      <c r="F144" s="13"/>
    </row>
    <row r="145" spans="6:6" x14ac:dyDescent="0.2">
      <c r="F145" s="13"/>
    </row>
    <row r="146" spans="6:6" x14ac:dyDescent="0.2">
      <c r="F146" s="13"/>
    </row>
    <row r="147" spans="6:6" x14ac:dyDescent="0.2">
      <c r="F147" s="13"/>
    </row>
    <row r="148" spans="6:6" x14ac:dyDescent="0.2">
      <c r="F148" s="13"/>
    </row>
    <row r="149" spans="6:6" x14ac:dyDescent="0.2">
      <c r="F149" s="13"/>
    </row>
    <row r="150" spans="6:6" x14ac:dyDescent="0.2">
      <c r="F150" s="13"/>
    </row>
    <row r="151" spans="6:6" x14ac:dyDescent="0.2">
      <c r="F151" s="13"/>
    </row>
    <row r="152" spans="6:6" x14ac:dyDescent="0.2">
      <c r="F152" s="13"/>
    </row>
    <row r="153" spans="6:6" x14ac:dyDescent="0.2">
      <c r="F153" s="13"/>
    </row>
    <row r="154" spans="6:6" x14ac:dyDescent="0.2">
      <c r="F154" s="13"/>
    </row>
    <row r="155" spans="6:6" x14ac:dyDescent="0.2">
      <c r="F155" s="13"/>
    </row>
  </sheetData>
  <sortState xmlns:xlrd2="http://schemas.microsoft.com/office/spreadsheetml/2017/richdata2" ref="B9:C25">
    <sortCondition ref="B10"/>
  </sortState>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6A739-DFF3-2847-97E7-922BD31DC502}">
  <dimension ref="A1"/>
  <sheetViews>
    <sheetView showGridLines="0" tabSelected="1" zoomScale="90" zoomScaleNormal="90" workbookViewId="0">
      <selection activeCell="X38" sqref="X38"/>
    </sheetView>
  </sheetViews>
  <sheetFormatPr baseColWidth="10" defaultRowHeight="16" x14ac:dyDescent="0.2"/>
  <cols>
    <col min="1" max="16384" width="10.8320312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CA98-DA53-6249-8F0F-6A949D91CC7B}">
  <dimension ref="A1"/>
  <sheetViews>
    <sheetView showGridLines="0" workbookViewId="0">
      <selection activeCell="I31" sqref="I31"/>
    </sheetView>
  </sheetViews>
  <sheetFormatPr baseColWidth="10" defaultRowHeight="16" x14ac:dyDescent="0.2"/>
  <sheetData/>
  <sheetProtection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6980-D05E-9E47-BAD0-E3A594DEE851}">
  <dimension ref="A1"/>
  <sheetViews>
    <sheetView zoomScaleNormal="100" workbookViewId="0"/>
  </sheetViews>
  <sheetFormatPr baseColWidth="10" defaultRowHeight="16" x14ac:dyDescent="0.2"/>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 Data</vt:lpstr>
      <vt:lpstr>Clean Data</vt:lpstr>
      <vt:lpstr>Pivot Tables</vt:lpstr>
      <vt:lpstr>Dashboard</vt:lpstr>
      <vt:lpstr>Questions and Answers</vt:lpstr>
      <vt:lpstr>Summary</vt:lpstr>
      <vt:lpstr>Clean.Table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Haley A Shields</dc:creator>
  <cp:lastModifiedBy>Haley A Shields</cp:lastModifiedBy>
  <dcterms:created xsi:type="dcterms:W3CDTF">2026-04-22T00:57:27Z</dcterms:created>
  <dcterms:modified xsi:type="dcterms:W3CDTF">2026-04-25T23:24:06Z</dcterms:modified>
</cp:coreProperties>
</file>